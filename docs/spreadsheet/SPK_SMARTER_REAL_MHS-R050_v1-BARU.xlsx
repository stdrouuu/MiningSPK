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KRITERIA" sheetId="2" state="visible" r:id="rId2"/>
    <sheet xmlns:r="http://schemas.openxmlformats.org/officeDocument/2006/relationships" name="02_PROFIL" sheetId="3" state="visible" r:id="rId3"/>
    <sheet xmlns:r="http://schemas.openxmlformats.org/officeDocument/2006/relationships" name="03_ALTERNATIF" sheetId="4" state="visible" r:id="rId4"/>
    <sheet xmlns:r="http://schemas.openxmlformats.org/officeDocument/2006/relationships" name="04_SMARTER" sheetId="5" state="visible" r:id="rId5"/>
    <sheet xmlns:r="http://schemas.openxmlformats.org/officeDocument/2006/relationships" name="05_ARSIP_221" sheetId="6" state="visible" r:id="rId6"/>
    <sheet xmlns:r="http://schemas.openxmlformats.org/officeDocument/2006/relationships" name="06_DASHBOARD" sheetId="7" state="visible" r:id="rId7"/>
  </sheets>
  <definedNames>
    <definedName name="_xlnm._FilterDatabase" localSheetId="2" hidden="1">'02_PROFIL'!$A$15:$H$64</definedName>
    <definedName name="_xlnm._FilterDatabase" localSheetId="3" hidden="1">'03_ALTERNATIF'!$A$3:$N$18</definedName>
    <definedName name="_xlnm._FilterDatabase" localSheetId="4" hidden="1">'04_SMARTER'!$A$3:$N$18</definedName>
    <definedName name="_xlnm._FilterDatabase" localSheetId="5" hidden="1">'05_ARSIP_221'!$A$3:$N$224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p&quot; #,##0"/>
    <numFmt numFmtId="165" formatCode="&quot;Rp&quot; #,##0.0"/>
    <numFmt numFmtId="166" formatCode="0.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F4E79"/>
      <sz val="10"/>
    </font>
    <font>
      <name val="Calibri"/>
      <b val="1"/>
      <color rgb="00FFFFFF"/>
      <sz val="11"/>
    </font>
    <font>
      <name val="Calibri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sz val="11"/>
    </font>
    <font>
      <name val="Calibri"/>
      <i val="1"/>
      <sz val="10"/>
    </font>
    <font>
      <name val="Calibri"/>
      <b val="1"/>
      <sz val="10"/>
    </font>
    <font>
      <name val="Calibri"/>
      <b val="1"/>
      <color rgb="001F4E79"/>
      <sz val="10"/>
    </font>
    <font>
      <color rgb="000563C1"/>
      <u val="single"/>
    </font>
    <font>
      <name val="Calibri"/>
      <i val="1"/>
      <sz val="9"/>
    </font>
    <font>
      <name val="Calibri"/>
      <b val="1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  <border>
      <left/>
      <right/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 wrapText="1"/>
    </xf>
    <xf numFmtId="10" fontId="7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center" vertical="center" wrapText="1"/>
    </xf>
    <xf numFmtId="10" fontId="7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0" fontId="4" fillId="6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  <xf numFmtId="166" fontId="7" fillId="6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2" fontId="4" fillId="7" borderId="1" applyAlignment="1" pivotButton="0" quotePrefix="0" xfId="0">
      <alignment horizontal="center" vertical="center" wrapText="1"/>
    </xf>
    <xf numFmtId="2" fontId="7" fillId="8" borderId="1" applyAlignment="1" pivotButton="0" quotePrefix="0" xfId="0">
      <alignment horizontal="center" vertical="center" wrapText="1"/>
    </xf>
    <xf numFmtId="2" fontId="7" fillId="9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167" fontId="7" fillId="3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7" fontId="7" fillId="6" borderId="1" applyAlignment="1" pivotButton="0" quotePrefix="0" xfId="0">
      <alignment horizontal="center" vertical="center" wrapText="1"/>
    </xf>
    <xf numFmtId="167" fontId="7" fillId="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D966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Nilai SMARTER — 15 Alternatif Demo (MHS-R050)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'04_SMARTER'!J3</f>
            </strRef>
          </tx>
          <spPr>
            <a:ln xmlns:a="http://schemas.openxmlformats.org/drawingml/2006/main">
              <a:prstDash val="solid"/>
            </a:ln>
          </spPr>
          <cat>
            <numRef>
              <f>'04_SMARTER'!$B$4:$B$18</f>
            </numRef>
          </cat>
          <val>
            <numRef>
              <f>'04_SMARTER'!$J$4:$J$18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Nilai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F3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SPK SMARTER — Rekomendasi Kerja Part-Time UKRIDA (DATA REAL 2026)</t>
        </is>
      </c>
    </row>
    <row r="2" ht="30" customHeight="1">
      <c r="A2" s="2" t="inlineStr">
        <is>
          <t>Evaluator real MHS-R050 (Brandon J. Sutedja, NIM 412024022)  •  221 lowongan scraping real  •  49 responden GForm real  •  Prioritas BARU C1&gt;C2&gt;C3&gt;C4&gt;C5</t>
        </is>
      </c>
    </row>
    <row r="4" ht="22" customHeight="1">
      <c r="A4" s="3" t="inlineStr">
        <is>
          <t>IDENTITAS KELOMPOK</t>
        </is>
      </c>
    </row>
    <row r="5" ht="20" customHeight="1">
      <c r="A5" s="4" t="inlineStr">
        <is>
          <t>NIM</t>
        </is>
      </c>
      <c r="B5" s="4" t="inlineStr">
        <is>
          <t>Nama Mahasiswa</t>
        </is>
      </c>
    </row>
    <row r="6" ht="18" customHeight="1">
      <c r="A6" s="5" t="inlineStr">
        <is>
          <t>412024022</t>
        </is>
      </c>
      <c r="B6" s="6" t="inlineStr">
        <is>
          <t>Brandon Jeremiah Sutedja</t>
        </is>
      </c>
      <c r="C6" s="7" t="n"/>
    </row>
    <row r="7" ht="18" customHeight="1">
      <c r="A7" s="5" t="inlineStr">
        <is>
          <t>412024043</t>
        </is>
      </c>
      <c r="B7" s="6" t="inlineStr">
        <is>
          <t>Andrew Linardi</t>
        </is>
      </c>
      <c r="C7" s="7" t="n"/>
    </row>
    <row r="8" ht="18" customHeight="1">
      <c r="A8" s="5" t="inlineStr">
        <is>
          <t>412025014</t>
        </is>
      </c>
      <c r="B8" s="6" t="inlineStr">
        <is>
          <t>Raffael Benediktus Lolaroh</t>
        </is>
      </c>
      <c r="C8" s="7" t="n"/>
    </row>
    <row r="9" ht="18" customHeight="1">
      <c r="A9" s="5" t="inlineStr">
        <is>
          <t>412025021</t>
        </is>
      </c>
      <c r="B9" s="6" t="inlineStr">
        <is>
          <t>Michael Aaron Sipahutar</t>
        </is>
      </c>
      <c r="C9" s="7" t="n"/>
    </row>
    <row r="11" ht="22" customHeight="1">
      <c r="A11" s="3" t="inlineStr">
        <is>
          <t>SUMBER DATA REAL (bukan mock — diverifikasi dari CSV codebase)</t>
        </is>
      </c>
    </row>
    <row r="12" ht="28" customHeight="1">
      <c r="A12" s="8" t="inlineStr">
        <is>
          <t>1) Lowongan : data/processed/cleaned-jobs/clean_jobs_dataset.csv — 221 baris real scraping Glints (gaji Rp25–50rb/jam, 11 kategori).</t>
        </is>
      </c>
    </row>
    <row r="13" ht="28" customHeight="1">
      <c r="A13" s="8" t="inlineStr">
        <is>
          <t>2) Mahasiswa: data/processed/cleaned-real-students/clean_real_student.csv — 49 responden real (GForm 3–13 Okt 2026; 1 baris drop karena skill kosong).</t>
        </is>
      </c>
    </row>
    <row r="14" ht="28" customHeight="1">
      <c r="A14" s="8" t="inlineStr">
        <is>
          <t>3) Evaluator : MHS-R050 / Brandon Jeremiah Sutedja / NIM 412024022.0 — Education &amp; Tutoring, ekspektasi Rp21,000/jam, Jakarta Utara, 15 jam/mgg, Onsite (diisi 2026-10-13 09:42:23).</t>
        </is>
      </c>
    </row>
    <row r="15" ht="28" customHeight="1">
      <c r="A15" s="8" t="inlineStr">
        <is>
          <t>4) C1–C5 dihitung ulang dgn rumus pipeline src/decision_matrix.py + TF-IDF (sklearn) thd evaluator tsb — nilai X di sheet 03_ALTERNATIF = hasil komputasi, bukan karangan.</t>
        </is>
      </c>
    </row>
    <row r="16" ht="28" customHeight="1">
      <c r="A16" s="8" t="inlineStr">
        <is>
          <t>5) File ini BARU (7 sheet vertikal, tema biru, SUMPRODUCT + RANK.EQ + INDEX-MATCH + XLOOKUP) — beda total dari v4 (2 sheet horizontal, tema merah, Σ manual + RANK + VLOOKUP saja).</t>
        </is>
      </c>
    </row>
    <row r="18" ht="22" customHeight="1">
      <c r="A18" s="3" t="inlineStr">
        <is>
          <t>DAFTAR ISI — KLIK LINK (HYPERLINK)</t>
        </is>
      </c>
    </row>
    <row r="19" ht="20" customHeight="1">
      <c r="A19" s="9">
        <f>HYPERLINK("#'01_KRITERIA'!A1","→ 01_KRITERIA — Kriteria, tipe Benefit/Cost, rank &amp; bobot ROC (CHOOSE + VLOOKUP + HLOOKUP)")</f>
        <v/>
      </c>
    </row>
    <row r="20" ht="20" customHeight="1">
      <c r="A20" s="9">
        <f>HYPERLINK("#'02_PROFIL'!A1","→ 02_PROFIL — Profil evaluator real + tabel 49 responden (VLOOKUP + AVERAGE + COUNTIF)")</f>
        <v/>
      </c>
    </row>
    <row r="21" ht="20" customHeight="1">
      <c r="A21" s="9">
        <f>HYPERLINK("#'03_ALTERNATIF'!A1","→ 03_ALTERNATIF — 15 alternatif lowongan real + matriks X + MAX/MIN/RATA2 (link antar-sheet)")</f>
        <v/>
      </c>
    </row>
    <row r="22" ht="20" customHeight="1">
      <c r="A22" s="9">
        <f>HYPERLINK("#'04_SMARTER'!A1","→ 04_SMARTER — Utility IF-Benefit/Cost + Nilai SUMPRODUCT + Rank RANK.EQ + kotak INDEX-MATCH/XLOOKUP")</f>
        <v/>
      </c>
    </row>
    <row r="23" ht="20" customHeight="1">
      <c r="A23" s="9">
        <f>HYPERLINK("#'05_ARSIP_221'!A1","→ 05_ARSIP_221 — Arsip penuh 221 lowongan (skor global + rank global, jadi acuan VLOOKUP)")</f>
        <v/>
      </c>
    </row>
    <row r="24" ht="20" customHeight="1">
      <c r="A24" s="9">
        <f>HYPERLINK("#'06_DASHBOARD'!A1","→ 06_DASHBOARD — Top-5 otomatis (LARGE) + grafik + kesimpulan CONCAT")</f>
        <v/>
      </c>
    </row>
    <row r="26" ht="22" customHeight="1">
      <c r="A26" s="3" t="inlineStr">
        <is>
          <t>CARA PAKAI (semua angka turunan = RUMUS, silakan ubah sel kuning)</t>
        </is>
      </c>
    </row>
    <row r="27" ht="30" customHeight="1">
      <c r="A27" s="8" t="inlineStr">
        <is>
          <t>1) Sheet 01_KRITERIA: ubah Rank di kolom E (kuning, 1–5 unik) → bobot ROC &amp; semua skor ikut berubah otomatis.</t>
        </is>
      </c>
    </row>
    <row r="28" ht="30" customHeight="1">
      <c r="A28" s="8" t="inlineStr">
        <is>
          <t>2) Sheet 04_SMARTER: ketik Rank 1–15 di sel kuning C23 → pemenang tampil via 3 metode (VLOOKUP / INDEX-MATCH / XLOOKUP).</t>
        </is>
      </c>
    </row>
    <row r="29" ht="30" customHeight="1">
      <c r="A29" s="8" t="inlineStr">
        <is>
          <t>3) Sheet 02_PROFIL: ganti ID di B3 (mis. MHS-R001) → kartu profil ikut via VLOOKUP (matriks X tetap milik MHS-R050; regenerasi via scripts/build_spk_real_excel.py untuk evaluator lain).</t>
        </is>
      </c>
    </row>
    <row r="30" ht="30" customHeight="1">
      <c r="A30" s="8" t="inlineStr">
        <is>
          <t>4) Sheet 06_DASHBOARD: Top-5 + grafik ter-update sendiri (LARGE + BarChart).</t>
        </is>
      </c>
    </row>
  </sheetData>
  <mergeCells count="26">
    <mergeCell ref="A16:F16"/>
    <mergeCell ref="B7:C7"/>
    <mergeCell ref="A27:F27"/>
    <mergeCell ref="A12:F12"/>
    <mergeCell ref="A18:F18"/>
    <mergeCell ref="A26:F26"/>
    <mergeCell ref="A21:F21"/>
    <mergeCell ref="A2:F2"/>
    <mergeCell ref="A14:F14"/>
    <mergeCell ref="A23:F23"/>
    <mergeCell ref="A22:F22"/>
    <mergeCell ref="A4:F4"/>
    <mergeCell ref="A20:F20"/>
    <mergeCell ref="B8:C8"/>
    <mergeCell ref="A29:F29"/>
    <mergeCell ref="A28:F28"/>
    <mergeCell ref="A13:F13"/>
    <mergeCell ref="A19:F19"/>
    <mergeCell ref="B9:C9"/>
    <mergeCell ref="A30:F30"/>
    <mergeCell ref="A15:F15"/>
    <mergeCell ref="A24:F24"/>
    <mergeCell ref="B6:C6"/>
    <mergeCell ref="A11:F11"/>
    <mergeCell ref="B5:C5"/>
    <mergeCell ref="A1:F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6" customWidth="1" min="3" max="3"/>
    <col width="12" customWidth="1" min="4" max="4"/>
    <col width="13" customWidth="1" min="5" max="5"/>
    <col width="12" customWidth="1" min="6" max="6"/>
    <col width="42" customWidth="1" min="7" max="7"/>
    <col width="16" customWidth="1" min="8" max="8"/>
    <col width="9" customWidth="1" min="10" max="10"/>
    <col width="13" customWidth="1" min="11" max="11"/>
    <col width="30" customWidth="1" min="12" max="12"/>
  </cols>
  <sheetData>
    <row r="1" ht="28" customHeight="1">
      <c r="A1" s="1" t="inlineStr">
        <is>
          <t>01 — KRITERIA, TIPE BENEFIT/COST &amp; BOBOT ROC</t>
        </is>
      </c>
    </row>
    <row r="2" ht="30" customHeight="1">
      <c r="A2" s="2" t="inlineStr">
        <is>
          <t>Semua 5 kriteria = BENEFIT (makin besar makin baik)  •  Prioritas BARU: C1(1) &gt; C2(2) &gt; C3(3) &gt; C4(4) &gt; C5(5)  •  Bobot via CHOOSE dari tabel ROC (bukan ketikan)</t>
        </is>
      </c>
    </row>
    <row r="3" ht="38" customHeight="1">
      <c r="A3" s="4" t="inlineStr">
        <is>
          <t>Kode</t>
        </is>
      </c>
      <c r="B3" s="4" t="inlineStr">
        <is>
          <t>Nama Kriteria</t>
        </is>
      </c>
      <c r="C3" s="4" t="inlineStr">
        <is>
          <t>Definisi / Satuan / Rumus Xij (relatif ke MHS-R050)</t>
        </is>
      </c>
      <c r="D3" s="4" t="inlineStr">
        <is>
          <t>Tipe</t>
        </is>
      </c>
      <c r="E3" s="4" t="inlineStr">
        <is>
          <t>Rank (input)</t>
        </is>
      </c>
      <c r="F3" s="4" t="inlineStr">
        <is>
          <t>Bobot ROC</t>
        </is>
      </c>
      <c r="G3" s="4" t="inlineStr">
        <is>
          <t>Alasan Benefit (mengapa bukan Cost)</t>
        </is>
      </c>
      <c r="H3" s="4" t="inlineStr">
        <is>
          <t>Cek</t>
        </is>
      </c>
      <c r="J3" s="4" t="inlineStr">
        <is>
          <t>TABEL ACUAN ROC (K=5)</t>
        </is>
      </c>
    </row>
    <row r="4" ht="36" customHeight="1">
      <c r="A4" s="10" t="inlineStr">
        <is>
          <t>C1</t>
        </is>
      </c>
      <c r="B4" s="6" t="inlineStr">
        <is>
          <t>Kesesuaian Kategori</t>
        </is>
      </c>
      <c r="C4" s="6" t="inlineStr">
        <is>
          <t>1,0 jika kategori = Education &amp; Tutoring (minat MHS-R050); 0,3 jika beda. Satuan: skor.</t>
        </is>
      </c>
      <c r="D4" s="5" t="inlineStr">
        <is>
          <t>Benefit</t>
        </is>
      </c>
      <c r="E4" s="11" t="n">
        <v>1</v>
      </c>
      <c r="F4" s="12">
        <f>CHOOSE($E4,$K$5,$K$6,$K$7,$K$8,$K$9)</f>
        <v/>
      </c>
      <c r="G4" s="6" t="inlineStr">
        <is>
          <t>Cocok minat → makin baik; tidak ada penalti cost.</t>
        </is>
      </c>
      <c r="H4" s="5" t="inlineStr">
        <is>
          <t>✓</t>
        </is>
      </c>
      <c r="J4" s="4" t="inlineStr">
        <is>
          <t>Rank</t>
        </is>
      </c>
      <c r="K4" s="4" t="inlineStr">
        <is>
          <t>Bobot ROC</t>
        </is>
      </c>
      <c r="L4" s="4" t="inlineStr">
        <is>
          <t>Rumus</t>
        </is>
      </c>
    </row>
    <row r="5" ht="20" customHeight="1">
      <c r="A5" s="10" t="inlineStr">
        <is>
          <t>C2</t>
        </is>
      </c>
      <c r="B5" s="6" t="inlineStr">
        <is>
          <t>Rasio Penawaran Gaji</t>
        </is>
      </c>
      <c r="C5" s="6" t="inlineStr">
        <is>
          <t>gaji/jam ÷ Rp21.000 (ekspektasi MHS-R050), di-cap 2,0. Mis. 2,0 = 2× lipat ekspektasi.</t>
        </is>
      </c>
      <c r="D5" s="5" t="inlineStr">
        <is>
          <t>Benefit</t>
        </is>
      </c>
      <c r="E5" s="11" t="n">
        <v>2</v>
      </c>
      <c r="F5" s="12">
        <f>CHOOSE($E5,$K$5,$K$6,$K$7,$K$8,$K$9)</f>
        <v/>
      </c>
      <c r="G5" s="6" t="inlineStr">
        <is>
          <t>Gaji lebih tinggi selalu lebih baik bagi mahasiswa (benefit).</t>
        </is>
      </c>
      <c r="H5" s="5" t="inlineStr">
        <is>
          <t>✓</t>
        </is>
      </c>
      <c r="J5" s="10" t="n">
        <v>1</v>
      </c>
      <c r="K5" s="13">
        <f>(1+1/2+1/3+1/4+1/5)/5</f>
        <v/>
      </c>
      <c r="L5" s="6">
        <f>(1+1/2+1/3+1/4+1/5)/5</f>
        <v/>
      </c>
    </row>
    <row r="6" ht="20" customHeight="1">
      <c r="A6" s="10" t="inlineStr">
        <is>
          <t>C3</t>
        </is>
      </c>
      <c r="B6" s="6" t="inlineStr">
        <is>
          <t>Aksesibilitas Lokasi</t>
        </is>
      </c>
      <c r="C6" s="6" t="inlineStr">
        <is>
          <t>1,0 Remote/se-Jakarta Utara; 0,8 sesama Jakarta; 0,4 lainnya (aturan calc_c3).</t>
        </is>
      </c>
      <c r="D6" s="5" t="inlineStr">
        <is>
          <t>Benefit</t>
        </is>
      </c>
      <c r="E6" s="11" t="n">
        <v>3</v>
      </c>
      <c r="F6" s="12">
        <f>CHOOSE($E6,$K$5,$K$6,$K$7,$K$8,$K$9)</f>
        <v/>
      </c>
      <c r="G6" s="6" t="inlineStr">
        <is>
          <t>Lokasi mudah dijangkau → makin baik (benefit).</t>
        </is>
      </c>
      <c r="H6" s="5" t="inlineStr">
        <is>
          <t>✓</t>
        </is>
      </c>
      <c r="J6" s="10" t="n">
        <v>2</v>
      </c>
      <c r="K6" s="13">
        <f>(1/2+1/3+1/4+1/5)/5</f>
        <v/>
      </c>
      <c r="L6" s="6">
        <f>(1/2+1/3+1/4+1/5)/5</f>
        <v/>
      </c>
    </row>
    <row r="7" ht="20" customHeight="1">
      <c r="A7" s="10" t="inlineStr">
        <is>
          <t>C4</t>
        </is>
      </c>
      <c r="B7" s="6" t="inlineStr">
        <is>
          <t>Kesesuaian Jam Kerja</t>
        </is>
      </c>
      <c r="C7" s="6" t="inlineStr">
        <is>
          <t>1 − |jam − 15|/20 (jam ideal MHS-R050 = 15/mgg). Dekat ideal → ~1.</t>
        </is>
      </c>
      <c r="D7" s="5" t="inlineStr">
        <is>
          <t>Benefit</t>
        </is>
      </c>
      <c r="E7" s="11" t="n">
        <v>4</v>
      </c>
      <c r="F7" s="12">
        <f>CHOOSE($E7,$K$5,$K$6,$K$7,$K$8,$K$9)</f>
        <v/>
      </c>
      <c r="G7" s="6" t="inlineStr">
        <is>
          <t>Jam dekat ideal → makin baik (benefit).</t>
        </is>
      </c>
      <c r="H7" s="5" t="inlineStr">
        <is>
          <t>✓</t>
        </is>
      </c>
      <c r="J7" s="10" t="n">
        <v>3</v>
      </c>
      <c r="K7" s="13">
        <f>(1/3+1/4+1/5)/5</f>
        <v/>
      </c>
      <c r="L7" s="6">
        <f>(1/3+1/4+1/5)/5</f>
        <v/>
      </c>
    </row>
    <row r="8" ht="20" customHeight="1">
      <c r="A8" s="10" t="inlineStr">
        <is>
          <t>C5</t>
        </is>
      </c>
      <c r="B8" s="6" t="inlineStr">
        <is>
          <t>Kemiripan Keahlian</t>
        </is>
      </c>
      <c r="C8" s="6" t="inlineStr">
        <is>
          <t>Cosine TF-IDF skill mhs vs lowongan [0–1]. 0,75 = sangat cocok.</t>
        </is>
      </c>
      <c r="D8" s="5" t="inlineStr">
        <is>
          <t>Benefit</t>
        </is>
      </c>
      <c r="E8" s="11" t="n">
        <v>5</v>
      </c>
      <c r="F8" s="12">
        <f>CHOOSE($E8,$K$5,$K$6,$K$7,$K$8,$K$9)</f>
        <v/>
      </c>
      <c r="G8" s="6" t="inlineStr">
        <is>
          <t>Skill cocok → makin baik (benefit).</t>
        </is>
      </c>
      <c r="H8" s="5" t="inlineStr">
        <is>
          <t>✓</t>
        </is>
      </c>
      <c r="J8" s="10" t="n">
        <v>4</v>
      </c>
      <c r="K8" s="13">
        <f>(1/4+1/5)/5</f>
        <v/>
      </c>
      <c r="L8" s="6">
        <f>(1/4+1/5)/5</f>
        <v/>
      </c>
    </row>
    <row r="9" ht="20" customHeight="1">
      <c r="A9" s="10" t="inlineStr">
        <is>
          <t>TOTAL</t>
        </is>
      </c>
      <c r="B9" s="14" t="n"/>
      <c r="C9" s="14" t="n"/>
      <c r="D9" s="14" t="n"/>
      <c r="E9" s="7" t="n"/>
      <c r="F9" s="13">
        <f>SUM(F4:F8)</f>
        <v/>
      </c>
      <c r="G9" s="15">
        <f>IF(ABS(F9-1)&lt;0.0005,"✔ Jumlah bobot = 1 (OK)","✘ Jumlah ≠ 1 (ERROR)")</f>
        <v/>
      </c>
      <c r="H9" s="7" t="n"/>
      <c r="J9" s="10" t="n">
        <v>5</v>
      </c>
      <c r="K9" s="13">
        <f>(1/5)/5</f>
        <v/>
      </c>
      <c r="L9" s="6">
        <f>(1/5)/5</f>
        <v/>
      </c>
    </row>
    <row r="10">
      <c r="A10" s="16" t="inlineStr">
        <is>
          <t>Rank harus unik 1–5:</t>
        </is>
      </c>
      <c r="F10" s="17">
        <f>IF(AND(COUNTIF(E4:E8,1)=1,COUNTIF(E4:E8,2)=1,COUNTIF(E4:E8,3)=1,COUNTIF(E4:E8,4)=1,COUNTIF(E4:E8,5)=1),"✔ Rank unik 1–5 (OK)","✘ Rank ganda/kosong")</f>
        <v/>
      </c>
    </row>
    <row r="11">
      <c r="J11" s="4" t="inlineStr">
        <is>
          <t>DEMO LOOKUP (coba ganti sel kuning)</t>
        </is>
      </c>
    </row>
    <row r="12">
      <c r="J12" s="10" t="inlineStr">
        <is>
          <t>Input Kode:</t>
        </is>
      </c>
      <c r="K12" s="11" t="inlineStr">
        <is>
          <t>C3</t>
        </is>
      </c>
    </row>
    <row r="13">
      <c r="J13" s="5" t="inlineStr">
        <is>
          <t>Nama (VLOOKUP):</t>
        </is>
      </c>
      <c r="K13" s="6">
        <f>VLOOKUP($K$12,$A$4:$B$8,2,FALSE)</f>
        <v/>
      </c>
    </row>
    <row r="14">
      <c r="J14" s="5" t="inlineStr">
        <is>
          <t>Bobot (VLOOKUP):</t>
        </is>
      </c>
      <c r="K14" s="18">
        <f>VLOOKUP($K$12,$A$4:$F$8,6,FALSE)</f>
        <v/>
      </c>
    </row>
    <row r="15">
      <c r="J15" s="6" t="inlineStr">
        <is>
          <t>Bobot (HLOOKUP): =HLOOKUP($K$12,$J$17:$N$18,2,FALSE) →</t>
        </is>
      </c>
    </row>
    <row r="16">
      <c r="J16" s="10" t="inlineStr">
        <is>
          <t>HLOOKUP →</t>
        </is>
      </c>
      <c r="K16" s="19">
        <f>HLOOKUP($K$12,$J$17:$N$18,2,FALSE)</f>
        <v/>
      </c>
    </row>
    <row r="17">
      <c r="J17" s="20" t="inlineStr">
        <is>
          <t>C1</t>
        </is>
      </c>
      <c r="K17" s="20" t="inlineStr">
        <is>
          <t>C2</t>
        </is>
      </c>
      <c r="L17" s="20" t="inlineStr">
        <is>
          <t>C3</t>
        </is>
      </c>
      <c r="M17" s="20" t="inlineStr">
        <is>
          <t>C4</t>
        </is>
      </c>
      <c r="N17" s="20" t="inlineStr">
        <is>
          <t>C5</t>
        </is>
      </c>
    </row>
    <row r="18">
      <c r="J18" s="21">
        <f>F4</f>
        <v/>
      </c>
      <c r="K18" s="21">
        <f>F5</f>
        <v/>
      </c>
      <c r="L18" s="21">
        <f>F6</f>
        <v/>
      </c>
      <c r="M18" s="21">
        <f>F7</f>
        <v/>
      </c>
      <c r="N18" s="21">
        <f>F8</f>
        <v/>
      </c>
    </row>
    <row r="20">
      <c r="A20" s="16" t="inlineStr">
        <is>
          <t>CATATAN TIPE: tidak ada kriteria Cost pada data ini — semua makin-besar-makin-baik sehingga rumus utility memakai cabang Benefit.</t>
        </is>
      </c>
    </row>
    <row r="21">
      <c r="A21" s="16" t="inlineStr">
        <is>
          <t>Rumus utility di sheet 04_SMARTER tetap memakai IF(Tipe="Benefit", ..., cabang Cost ...) + IFERROR(MAX=MIN → 1) agar siap jika suatu saat ada kriteria Cost.</t>
        </is>
      </c>
    </row>
    <row r="22">
      <c r="A22" s="22" t="inlineStr">
        <is>
          <t>BEDA vs v4: v4 bobot diketik per kolom (=...)/5; file ini bobot = CHOOSE(Rank, tabel ROC) + validasi SUM=1 + cek rank unik + demo VLOOKUP/HLOOKUP.</t>
        </is>
      </c>
    </row>
  </sheetData>
  <mergeCells count="14">
    <mergeCell ref="F10:H10"/>
    <mergeCell ref="A21:H21"/>
    <mergeCell ref="A20:H20"/>
    <mergeCell ref="A10:E10"/>
    <mergeCell ref="A2:H2"/>
    <mergeCell ref="A22:H22"/>
    <mergeCell ref="K13:L13"/>
    <mergeCell ref="A1:H1"/>
    <mergeCell ref="G9:H9"/>
    <mergeCell ref="K14:L14"/>
    <mergeCell ref="J3:L3"/>
    <mergeCell ref="A9:E9"/>
    <mergeCell ref="J11:L11"/>
    <mergeCell ref="J15:L15"/>
  </mergeCells>
  <dataValidations count="1">
    <dataValidation sqref="E4:E8" showDropDown="0" showInputMessage="0" showErrorMessage="1" allowBlank="0" errorTitle="Rank salah" error="Isi 1–5 unik" type="whole" operator="between">
      <formula1>1</formula1>
      <formula2>5</formula2>
    </dataValidation>
  </dataValidation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H6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16" customWidth="1" min="3" max="3"/>
    <col width="22" customWidth="1" min="4" max="4"/>
    <col width="26" customWidth="1" min="5" max="5"/>
    <col width="16" customWidth="1" min="6" max="6"/>
    <col width="20" customWidth="1" min="7" max="7"/>
    <col width="34" customWidth="1" min="8" max="8"/>
  </cols>
  <sheetData>
    <row r="1" ht="28" customHeight="1">
      <c r="A1" s="1" t="inlineStr">
        <is>
          <t>02 — PROFIL EVALUATOR REAL + TABEL 49 RESPONDEN</t>
        </is>
      </c>
    </row>
    <row r="2" ht="30" customHeight="1">
      <c r="A2" s="2" t="inlineStr">
        <is>
          <t>Kartu atas = VLOOKUP dari tabel 49 di bawah (ganti ID di B3 untuk demo)  •  Matriks X di sheet 03 tetap milik MHS-R050</t>
        </is>
      </c>
    </row>
    <row r="3">
      <c r="A3" s="10" t="inlineStr">
        <is>
          <t>ID Evaluator (kuning):</t>
        </is>
      </c>
      <c r="B3" s="11" t="inlineStr">
        <is>
          <t>MHS-R050</t>
        </is>
      </c>
      <c r="C3" s="23">
        <f>HYPERLINK("#'00_COVER'!A1","← Cover")</f>
        <v/>
      </c>
    </row>
    <row r="4" ht="22" customHeight="1">
      <c r="A4" s="10" t="inlineStr">
        <is>
          <t>Nama</t>
        </is>
      </c>
      <c r="B4" s="6">
        <f>VLOOKUP($B$3,$A$16:$H$64,2,FALSE)</f>
        <v/>
      </c>
      <c r="C4" s="24" t="inlineStr">
        <is>
          <t>VLOOKUP nama</t>
        </is>
      </c>
    </row>
    <row r="5" ht="22" customHeight="1">
      <c r="A5" s="10" t="inlineStr">
        <is>
          <t>NIM (dari GForm)</t>
        </is>
      </c>
      <c r="B5" s="6" t="inlineStr">
        <is>
          <t>412024022.0</t>
        </is>
      </c>
      <c r="C5" s="24" t="inlineStr">
        <is>
          <t>statis — lihat timestamp</t>
        </is>
      </c>
    </row>
    <row r="6" ht="22" customHeight="1">
      <c r="A6" s="10" t="inlineStr">
        <is>
          <t>Minat / Kategori</t>
        </is>
      </c>
      <c r="B6" s="6">
        <f>VLOOKUP($B$3,$A$16:$H$64,3,FALSE)</f>
        <v/>
      </c>
      <c r="C6" s="24" t="inlineStr">
        <is>
          <t>→ C1</t>
        </is>
      </c>
    </row>
    <row r="7" ht="22" customHeight="1">
      <c r="A7" s="10" t="inlineStr">
        <is>
          <t>Gaji min /jam (Rp)</t>
        </is>
      </c>
      <c r="B7" s="25">
        <f>VLOOKUP($B$3,$A$16:$H$64,4,FALSE)</f>
        <v/>
      </c>
      <c r="C7" s="24" t="inlineStr">
        <is>
          <t>→ C2 = gaji ÷ sel ini</t>
        </is>
      </c>
    </row>
    <row r="8" ht="22" customHeight="1">
      <c r="A8" s="10" t="inlineStr">
        <is>
          <t>Domisili bersih</t>
        </is>
      </c>
      <c r="B8" s="6">
        <f>VLOOKUP($B$3,$A$16:$H$64,5,FALSE)</f>
        <v/>
      </c>
      <c r="C8" s="24" t="inlineStr">
        <is>
          <t>→ C3</t>
        </is>
      </c>
    </row>
    <row r="9" ht="22" customHeight="1">
      <c r="A9" s="10" t="inlineStr">
        <is>
          <t>Jam ideal /mgg</t>
        </is>
      </c>
      <c r="B9" s="6">
        <f>VLOOKUP($B$3,$A$16:$H$64,6,FALSE)</f>
        <v/>
      </c>
      <c r="C9" s="24" t="inlineStr">
        <is>
          <t>→ C4 = 1−|jam−sel|/20</t>
        </is>
      </c>
    </row>
    <row r="10" ht="22" customHeight="1">
      <c r="A10" s="10" t="inlineStr">
        <is>
          <t>Sistem favorit</t>
        </is>
      </c>
      <c r="B10" s="6">
        <f>VLOOKUP($B$3,$A$16:$H$64,7,FALSE)</f>
        <v/>
      </c>
      <c r="C10" s="24" t="inlineStr">
        <is>
          <t>konteks C3</t>
        </is>
      </c>
    </row>
    <row r="11" ht="22" customHeight="1">
      <c r="A11" s="10" t="inlineStr">
        <is>
          <t>Skill (mentah)</t>
        </is>
      </c>
      <c r="B11" s="6" t="inlineStr">
        <is>
          <t>membuat modul belajar, komunikasi yang baik, time management, ramah, sabar</t>
        </is>
      </c>
      <c r="C11" s="24" t="inlineStr">
        <is>
          <t>→ C5 cosine</t>
        </is>
      </c>
    </row>
    <row r="12" ht="36" customHeight="1">
      <c r="A12" s="26" t="inlineStr">
        <is>
          <t>Diisi via GForm 2026-10-13 09:42:23  •  Domisili asli: Jakarta Utara (Penjaringan, Kelapa Gading, Pluit, Pademangan, dsb.)  •  Skill bersih (NLP): membuat modul belajar komunikasi time management ramah sabar</t>
        </is>
      </c>
    </row>
    <row r="14" ht="22" customHeight="1">
      <c r="A14" s="3" t="inlineStr">
        <is>
          <t>TABEL 49 RESPONDEN REAL (clean_real_student.csv) — ringkasan bawah memakai AVERAGE/COUNTIF/MIN/MAX</t>
        </is>
      </c>
    </row>
    <row r="15" ht="30" customHeight="1">
      <c r="A15" s="4" t="inlineStr">
        <is>
          <t>ID</t>
        </is>
      </c>
      <c r="B15" s="4" t="inlineStr">
        <is>
          <t>Nama</t>
        </is>
      </c>
      <c r="C15" s="4" t="inlineStr">
        <is>
          <t>Kategori Minat</t>
        </is>
      </c>
      <c r="D15" s="4" t="inlineStr">
        <is>
          <t>Gaji Min/jam</t>
        </is>
      </c>
      <c r="E15" s="4" t="inlineStr">
        <is>
          <t>Domisili</t>
        </is>
      </c>
      <c r="F15" s="4" t="inlineStr">
        <is>
          <t>Jam/mgg</t>
        </is>
      </c>
      <c r="G15" s="4" t="inlineStr">
        <is>
          <t>Sistem</t>
        </is>
      </c>
      <c r="H15" s="4" t="inlineStr">
        <is>
          <t>Skill (ringkas)</t>
        </is>
      </c>
    </row>
    <row r="16" ht="18" customHeight="1">
      <c r="A16" s="10" t="inlineStr">
        <is>
          <t>MHS-R001</t>
        </is>
      </c>
      <c r="B16" s="6" t="inlineStr">
        <is>
          <t>Kristofer Ryan Giggs Eka Saputra</t>
        </is>
      </c>
      <c r="C16" s="6" t="inlineStr">
        <is>
          <t>Admin &amp; Office Support</t>
        </is>
      </c>
      <c r="D16" s="27" t="n">
        <v>44000</v>
      </c>
      <c r="E16" s="5" t="inlineStr">
        <is>
          <t>Jakarta Barat</t>
        </is>
      </c>
      <c r="F16" s="5" t="n">
        <v>10</v>
      </c>
      <c r="G16" s="5" t="inlineStr">
        <is>
          <t>Hybrid</t>
        </is>
      </c>
      <c r="H16" s="6" t="inlineStr">
        <is>
          <t>Microsoft Excel, bahasa Inggris yg fluent, Ai coding, manaje</t>
        </is>
      </c>
    </row>
    <row r="17" ht="18" customHeight="1">
      <c r="A17" s="10" t="inlineStr">
        <is>
          <t>MHS-R002</t>
        </is>
      </c>
      <c r="B17" s="6" t="inlineStr">
        <is>
          <t>Juwita Rahayu Fafilaya</t>
        </is>
      </c>
      <c r="C17" s="6" t="inlineStr">
        <is>
          <t>Education &amp; Tutoring</t>
        </is>
      </c>
      <c r="D17" s="27" t="n">
        <v>23000</v>
      </c>
      <c r="E17" s="5" t="inlineStr">
        <is>
          <t>Jakarta Barat</t>
        </is>
      </c>
      <c r="F17" s="5" t="n">
        <v>8</v>
      </c>
      <c r="G17" s="5" t="inlineStr">
        <is>
          <t>Onsite</t>
        </is>
      </c>
      <c r="H17" s="6" t="inlineStr">
        <is>
          <t>Komunikasi yang baik, menyukai anak kecil, mampu mengajarkan</t>
        </is>
      </c>
    </row>
    <row r="18" ht="18" customHeight="1">
      <c r="A18" s="10" t="inlineStr">
        <is>
          <t>MHS-R003</t>
        </is>
      </c>
      <c r="B18" s="6" t="inlineStr">
        <is>
          <t>Hesekiel</t>
        </is>
      </c>
      <c r="C18" s="6" t="inlineStr">
        <is>
          <t>Admin &amp; Office Support</t>
        </is>
      </c>
      <c r="D18" s="27" t="n">
        <v>39000</v>
      </c>
      <c r="E18" s="5" t="inlineStr">
        <is>
          <t>Jakarta Barat</t>
        </is>
      </c>
      <c r="F18" s="5" t="n">
        <v>8</v>
      </c>
      <c r="G18" s="5" t="inlineStr">
        <is>
          <t>Hybrid</t>
        </is>
      </c>
      <c r="H18" s="6" t="inlineStr">
        <is>
          <t>Microsoft word , Canva ,komunikasi ramah.</t>
        </is>
      </c>
    </row>
    <row r="19" ht="18" customHeight="1">
      <c r="A19" s="10" t="inlineStr">
        <is>
          <t>MHS-R004</t>
        </is>
      </c>
      <c r="B19" s="6" t="inlineStr">
        <is>
          <t>Rosvlia Vhenesya Patiran</t>
        </is>
      </c>
      <c r="C19" s="6" t="inlineStr">
        <is>
          <t>Design &amp; Creative</t>
        </is>
      </c>
      <c r="D19" s="27" t="n">
        <v>39000</v>
      </c>
      <c r="E19" s="5" t="inlineStr">
        <is>
          <t>Jakarta Barat</t>
        </is>
      </c>
      <c r="F19" s="5" t="n">
        <v>8</v>
      </c>
      <c r="G19" s="5" t="inlineStr">
        <is>
          <t>Hybrid</t>
        </is>
      </c>
      <c r="H19" s="6" t="inlineStr">
        <is>
          <t>Canva,video editing capcut.</t>
        </is>
      </c>
    </row>
    <row r="20" ht="18" customHeight="1">
      <c r="A20" s="10" t="inlineStr">
        <is>
          <t>MHS-R005</t>
        </is>
      </c>
      <c r="B20" s="6" t="inlineStr">
        <is>
          <t>Jonathan Agustinus</t>
        </is>
      </c>
      <c r="C20" s="6" t="inlineStr">
        <is>
          <t>IT &amp; Software</t>
        </is>
      </c>
      <c r="D20" s="27" t="n">
        <v>56000</v>
      </c>
      <c r="E20" s="5" t="inlineStr">
        <is>
          <t>Jakarta Barat</t>
        </is>
      </c>
      <c r="F20" s="5" t="n">
        <v>10</v>
      </c>
      <c r="G20" s="5" t="inlineStr">
        <is>
          <t>Remote</t>
        </is>
      </c>
      <c r="H20" s="6" t="inlineStr">
        <is>
          <t>HTML, CSS, Python dasar, analisis data, troubleshooting komp</t>
        </is>
      </c>
    </row>
    <row r="21" ht="18" customHeight="1">
      <c r="A21" s="10" t="inlineStr">
        <is>
          <t>MHS-R006</t>
        </is>
      </c>
      <c r="B21" s="6" t="inlineStr">
        <is>
          <t>YADIN MURIB</t>
        </is>
      </c>
      <c r="C21" s="6" t="inlineStr">
        <is>
          <t>Food &amp; Beverage (F&amp;B)</t>
        </is>
      </c>
      <c r="D21" s="27" t="n">
        <v>23000</v>
      </c>
      <c r="E21" s="5" t="inlineStr">
        <is>
          <t>Jakarta Barat</t>
        </is>
      </c>
      <c r="F21" s="5" t="n">
        <v>8</v>
      </c>
      <c r="G21" s="5" t="inlineStr">
        <is>
          <t>Onsite</t>
        </is>
      </c>
      <c r="H21" s="6" t="inlineStr">
        <is>
          <t>Masak,jaga kebersihan,keramahan.</t>
        </is>
      </c>
    </row>
    <row r="22" ht="18" customHeight="1">
      <c r="A22" s="10" t="inlineStr">
        <is>
          <t>MHS-R007</t>
        </is>
      </c>
      <c r="B22" s="6" t="inlineStr">
        <is>
          <t>Robby cahyadi</t>
        </is>
      </c>
      <c r="C22" s="6" t="inlineStr">
        <is>
          <t>Food &amp; Beverage (F&amp;B)</t>
        </is>
      </c>
      <c r="D22" s="27" t="n">
        <v>23000</v>
      </c>
      <c r="E22" s="5" t="inlineStr">
        <is>
          <t>Jakarta Barat</t>
        </is>
      </c>
      <c r="F22" s="5" t="n">
        <v>8</v>
      </c>
      <c r="G22" s="5" t="inlineStr">
        <is>
          <t>Onsite</t>
        </is>
      </c>
      <c r="H22" s="6" t="inlineStr">
        <is>
          <t>Belum ada pengalaman</t>
        </is>
      </c>
    </row>
    <row r="23" ht="18" customHeight="1">
      <c r="A23" s="10" t="inlineStr">
        <is>
          <t>MHS-R008</t>
        </is>
      </c>
      <c r="B23" s="6" t="inlineStr">
        <is>
          <t>vera ayuyustina marbun</t>
        </is>
      </c>
      <c r="C23" s="6" t="inlineStr">
        <is>
          <t>Customer Service &amp; Support</t>
        </is>
      </c>
      <c r="D23" s="27" t="n">
        <v>22000</v>
      </c>
      <c r="E23" s="5" t="inlineStr">
        <is>
          <t>Tangerang Selatan</t>
        </is>
      </c>
      <c r="F23" s="5" t="n">
        <v>25</v>
      </c>
      <c r="G23" s="5" t="inlineStr">
        <is>
          <t>Hybrid</t>
        </is>
      </c>
      <c r="H23" s="6" t="inlineStr">
        <is>
          <t>analisis data,komunikasi ramah, kemampuan bekerja sama</t>
        </is>
      </c>
    </row>
    <row r="24" ht="18" customHeight="1">
      <c r="A24" s="10" t="inlineStr">
        <is>
          <t>MHS-R009</t>
        </is>
      </c>
      <c r="B24" s="6" t="inlineStr">
        <is>
          <t>Larry Nataraharja Filemon</t>
        </is>
      </c>
      <c r="C24" s="6" t="inlineStr">
        <is>
          <t>Education &amp; Tutoring</t>
        </is>
      </c>
      <c r="D24" s="27" t="n">
        <v>57000</v>
      </c>
      <c r="E24" s="5" t="inlineStr">
        <is>
          <t>Tangerang Selatan</t>
        </is>
      </c>
      <c r="F24" s="5" t="n">
        <v>12</v>
      </c>
      <c r="G24" s="5" t="inlineStr">
        <is>
          <t>Remote</t>
        </is>
      </c>
      <c r="H24" s="6" t="inlineStr">
        <is>
          <t>Math, Kimia, English, Mandarin, Korean, Communication, Adapt</t>
        </is>
      </c>
    </row>
    <row r="25" ht="18" customHeight="1">
      <c r="A25" s="10" t="inlineStr">
        <is>
          <t>MHS-R010</t>
        </is>
      </c>
      <c r="B25" s="6" t="inlineStr">
        <is>
          <t>Isabella Shanty Aryani</t>
        </is>
      </c>
      <c r="C25" s="6" t="inlineStr">
        <is>
          <t>Admin &amp; Office Support</t>
        </is>
      </c>
      <c r="D25" s="27" t="n">
        <v>19000</v>
      </c>
      <c r="E25" s="5" t="inlineStr">
        <is>
          <t>Jakarta Barat</t>
        </is>
      </c>
      <c r="F25" s="5" t="n">
        <v>10</v>
      </c>
      <c r="G25" s="5" t="inlineStr">
        <is>
          <t>Onsite</t>
        </is>
      </c>
      <c r="H25" s="6" t="inlineStr">
        <is>
          <t>Mampu mengoperasikan Microsoft Office (Word, Excel, PowerPoi</t>
        </is>
      </c>
    </row>
    <row r="26" ht="18" customHeight="1">
      <c r="A26" s="10" t="inlineStr">
        <is>
          <t>MHS-R011</t>
        </is>
      </c>
      <c r="B26" s="6" t="inlineStr">
        <is>
          <t>Joeyceline Patricia</t>
        </is>
      </c>
      <c r="C26" s="6" t="inlineStr">
        <is>
          <t>Retail &amp; Store Operations</t>
        </is>
      </c>
      <c r="D26" s="27" t="n">
        <v>39000</v>
      </c>
      <c r="E26" s="5" t="inlineStr">
        <is>
          <t>Jakarta Barat</t>
        </is>
      </c>
      <c r="F26" s="5" t="n">
        <v>8</v>
      </c>
      <c r="G26" s="5" t="inlineStr">
        <is>
          <t>Onsite</t>
        </is>
      </c>
      <c r="H26" s="6" t="inlineStr">
        <is>
          <t>komunikasi yang baik, pengecekan dan penataan barang, menjag</t>
        </is>
      </c>
    </row>
    <row r="27" ht="18" customHeight="1">
      <c r="A27" s="10" t="inlineStr">
        <is>
          <t>MHS-R012</t>
        </is>
      </c>
      <c r="B27" s="6" t="inlineStr">
        <is>
          <t>Jovin Valianta</t>
        </is>
      </c>
      <c r="C27" s="6" t="inlineStr">
        <is>
          <t>IT &amp; Software</t>
        </is>
      </c>
      <c r="D27" s="27" t="n">
        <v>29000</v>
      </c>
      <c r="E27" s="5" t="inlineStr">
        <is>
          <t>Jakarta Barat</t>
        </is>
      </c>
      <c r="F27" s="5" t="n">
        <v>15</v>
      </c>
      <c r="G27" s="5" t="inlineStr">
        <is>
          <t>Hybrid</t>
        </is>
      </c>
      <c r="H27" s="6" t="inlineStr">
        <is>
          <t>canva, linux, web security, communication skills, english</t>
        </is>
      </c>
    </row>
    <row r="28" ht="18" customHeight="1">
      <c r="A28" s="10" t="inlineStr">
        <is>
          <t>MHS-R013</t>
        </is>
      </c>
      <c r="B28" s="6" t="inlineStr">
        <is>
          <t>Michael Tandeas</t>
        </is>
      </c>
      <c r="C28" s="6" t="inlineStr">
        <is>
          <t>IT &amp; Software</t>
        </is>
      </c>
      <c r="D28" s="27" t="n">
        <v>28000</v>
      </c>
      <c r="E28" s="5" t="inlineStr">
        <is>
          <t>Jakarta Barat</t>
        </is>
      </c>
      <c r="F28" s="5" t="n">
        <v>25</v>
      </c>
      <c r="G28" s="5" t="inlineStr">
        <is>
          <t>Remote</t>
        </is>
      </c>
      <c r="H28" s="6" t="inlineStr">
        <is>
          <t>Semua Bisa</t>
        </is>
      </c>
    </row>
    <row r="29" ht="18" customHeight="1">
      <c r="A29" s="10" t="inlineStr">
        <is>
          <t>MHS-R014</t>
        </is>
      </c>
      <c r="B29" s="6" t="inlineStr">
        <is>
          <t>Gaddiel Abiyr Nesher Sitorus</t>
        </is>
      </c>
      <c r="C29" s="6" t="inlineStr">
        <is>
          <t>Food &amp; Beverage (F&amp;B)</t>
        </is>
      </c>
      <c r="D29" s="27" t="n">
        <v>55000</v>
      </c>
      <c r="E29" s="5" t="inlineStr">
        <is>
          <t>Tangerang Selatan</t>
        </is>
      </c>
      <c r="F29" s="5" t="n">
        <v>8</v>
      </c>
      <c r="G29" s="5" t="inlineStr">
        <is>
          <t>Onsite</t>
        </is>
      </c>
      <c r="H29" s="6" t="inlineStr">
        <is>
          <t>Masak nasgor, sate ayam, pempek, rendang</t>
        </is>
      </c>
    </row>
    <row r="30" ht="18" customHeight="1">
      <c r="A30" s="10" t="inlineStr">
        <is>
          <t>MHS-R015</t>
        </is>
      </c>
      <c r="B30" s="6" t="inlineStr">
        <is>
          <t>Bong Luverne Quinn</t>
        </is>
      </c>
      <c r="C30" s="6" t="inlineStr">
        <is>
          <t>Food &amp; Beverage (F&amp;B)</t>
        </is>
      </c>
      <c r="D30" s="27" t="n">
        <v>23000</v>
      </c>
      <c r="E30" s="5" t="inlineStr">
        <is>
          <t>Jakarta Barat</t>
        </is>
      </c>
      <c r="F30" s="5" t="n">
        <v>30</v>
      </c>
      <c r="G30" s="5" t="inlineStr">
        <is>
          <t>Hybrid</t>
        </is>
      </c>
      <c r="H30" s="6" t="inlineStr">
        <is>
          <t>Canva, selling, marketing, editing</t>
        </is>
      </c>
    </row>
    <row r="31" ht="18" customHeight="1">
      <c r="A31" s="10" t="inlineStr">
        <is>
          <t>MHS-R016</t>
        </is>
      </c>
      <c r="B31" s="6" t="inlineStr">
        <is>
          <t>Triemas Putra</t>
        </is>
      </c>
      <c r="C31" s="6" t="inlineStr">
        <is>
          <t>IT &amp; Software</t>
        </is>
      </c>
      <c r="D31" s="27" t="n">
        <v>57000</v>
      </c>
      <c r="E31" s="5" t="inlineStr">
        <is>
          <t>Jakarta Barat</t>
        </is>
      </c>
      <c r="F31" s="5" t="n">
        <v>12</v>
      </c>
      <c r="G31" s="5" t="inlineStr">
        <is>
          <t>Remote</t>
        </is>
      </c>
      <c r="H31" s="6" t="inlineStr">
        <is>
          <t>Microsoft Excel, HTML, CSS, Python, analisis data, Machine L</t>
        </is>
      </c>
    </row>
    <row r="32" ht="18" customHeight="1">
      <c r="A32" s="10" t="inlineStr">
        <is>
          <t>MHS-R017</t>
        </is>
      </c>
      <c r="B32" s="6" t="inlineStr">
        <is>
          <t>Sanders Keane Dylan D</t>
        </is>
      </c>
      <c r="C32" s="6" t="inlineStr">
        <is>
          <t>Education &amp; Tutoring</t>
        </is>
      </c>
      <c r="D32" s="27" t="n">
        <v>19000</v>
      </c>
      <c r="E32" s="5" t="inlineStr">
        <is>
          <t>Jakarta Pusat</t>
        </is>
      </c>
      <c r="F32" s="5" t="n">
        <v>10</v>
      </c>
      <c r="G32" s="5" t="inlineStr">
        <is>
          <t>Hybrid</t>
        </is>
      </c>
      <c r="H32" s="6" t="inlineStr">
        <is>
          <t>Public Speaking</t>
        </is>
      </c>
    </row>
    <row r="33" ht="18" customHeight="1">
      <c r="A33" s="10" t="inlineStr">
        <is>
          <t>MHS-R018</t>
        </is>
      </c>
      <c r="B33" s="6" t="inlineStr">
        <is>
          <t>rafael amazia laorence</t>
        </is>
      </c>
      <c r="C33" s="6" t="inlineStr">
        <is>
          <t>IT &amp; Software</t>
        </is>
      </c>
      <c r="D33" s="27" t="n">
        <v>34000</v>
      </c>
      <c r="E33" s="5" t="inlineStr">
        <is>
          <t>Jakarta Barat</t>
        </is>
      </c>
      <c r="F33" s="5" t="n">
        <v>20</v>
      </c>
      <c r="G33" s="5" t="inlineStr">
        <is>
          <t>Hybrid</t>
        </is>
      </c>
      <c r="H33" s="6" t="inlineStr">
        <is>
          <t>bisa prompt ai dengan maksimal, mempunyai basic skill bebera</t>
        </is>
      </c>
    </row>
    <row r="34" ht="18" customHeight="1">
      <c r="A34" s="10" t="inlineStr">
        <is>
          <t>MHS-R019</t>
        </is>
      </c>
      <c r="B34" s="6" t="inlineStr">
        <is>
          <t>Steven Iwan</t>
        </is>
      </c>
      <c r="C34" s="6" t="inlineStr">
        <is>
          <t>IT &amp; Software</t>
        </is>
      </c>
      <c r="D34" s="27" t="n">
        <v>23000</v>
      </c>
      <c r="E34" s="5" t="inlineStr">
        <is>
          <t>Jakarta Barat</t>
        </is>
      </c>
      <c r="F34" s="5" t="n">
        <v>30</v>
      </c>
      <c r="G34" s="5" t="inlineStr">
        <is>
          <t>Remote</t>
        </is>
      </c>
      <c r="H34" s="6" t="inlineStr">
        <is>
          <t>PYTHON, PHP, HTML, CSS, SQL</t>
        </is>
      </c>
    </row>
    <row r="35" ht="18" customHeight="1">
      <c r="A35" s="10" t="inlineStr">
        <is>
          <t>MHS-R020</t>
        </is>
      </c>
      <c r="B35" s="6" t="inlineStr">
        <is>
          <t>Josh Valentino</t>
        </is>
      </c>
      <c r="C35" s="6" t="inlineStr">
        <is>
          <t>Food &amp; Beverage (F&amp;B)</t>
        </is>
      </c>
      <c r="D35" s="27" t="n">
        <v>39000</v>
      </c>
      <c r="E35" s="5" t="inlineStr">
        <is>
          <t>Jakarta Pusat</t>
        </is>
      </c>
      <c r="F35" s="5" t="n">
        <v>8</v>
      </c>
      <c r="G35" s="5" t="inlineStr">
        <is>
          <t>Onsite</t>
        </is>
      </c>
      <c r="H35" s="6" t="inlineStr">
        <is>
          <t>ekspresso machine</t>
        </is>
      </c>
    </row>
    <row r="36" ht="18" customHeight="1">
      <c r="A36" s="10" t="inlineStr">
        <is>
          <t>MHS-R021</t>
        </is>
      </c>
      <c r="B36" s="6" t="inlineStr">
        <is>
          <t>Felix Wong</t>
        </is>
      </c>
      <c r="C36" s="6" t="inlineStr">
        <is>
          <t>Food &amp; Beverage (F&amp;B)</t>
        </is>
      </c>
      <c r="D36" s="27" t="n">
        <v>38000</v>
      </c>
      <c r="E36" s="5" t="inlineStr">
        <is>
          <t>Tangerang Selatan</t>
        </is>
      </c>
      <c r="F36" s="5" t="n">
        <v>15</v>
      </c>
      <c r="G36" s="5" t="inlineStr">
        <is>
          <t>Hybrid</t>
        </is>
      </c>
      <c r="H36" s="6" t="inlineStr">
        <is>
          <t>Bertanggung jawab, mudah bekerjasama dalam tim dapat bekerja</t>
        </is>
      </c>
    </row>
    <row r="37" ht="18" customHeight="1">
      <c r="A37" s="10" t="inlineStr">
        <is>
          <t>MHS-R023</t>
        </is>
      </c>
      <c r="B37" s="6" t="inlineStr">
        <is>
          <t>Rofiansyah</t>
        </is>
      </c>
      <c r="C37" s="6" t="inlineStr">
        <is>
          <t>IT &amp; Software</t>
        </is>
      </c>
      <c r="D37" s="27" t="n">
        <v>60000</v>
      </c>
      <c r="E37" s="5" t="inlineStr">
        <is>
          <t>Jakarta Barat</t>
        </is>
      </c>
      <c r="F37" s="5" t="n">
        <v>8</v>
      </c>
      <c r="G37" s="5" t="inlineStr">
        <is>
          <t>Remote</t>
        </is>
      </c>
      <c r="H37" s="6" t="inlineStr">
        <is>
          <t>Microsoft Excel, pengetikan cepat, rekap data teliti, custom</t>
        </is>
      </c>
    </row>
    <row r="38" ht="18" customHeight="1">
      <c r="A38" s="10" t="inlineStr">
        <is>
          <t>MHS-R024</t>
        </is>
      </c>
      <c r="B38" s="6" t="inlineStr">
        <is>
          <t>Austin Jeremiah Kendrik Halim</t>
        </is>
      </c>
      <c r="C38" s="6" t="inlineStr">
        <is>
          <t>IT &amp; Software</t>
        </is>
      </c>
      <c r="D38" s="27" t="n">
        <v>22000</v>
      </c>
      <c r="E38" s="5" t="inlineStr">
        <is>
          <t>Jakarta Barat</t>
        </is>
      </c>
      <c r="F38" s="5" t="n">
        <v>25</v>
      </c>
      <c r="G38" s="5" t="inlineStr">
        <is>
          <t>Remote</t>
        </is>
      </c>
      <c r="H38" s="6" t="inlineStr">
        <is>
          <t>HTML, CSS, Python, Spreadsheets, Excel, Next.js, Docker, SQL</t>
        </is>
      </c>
    </row>
    <row r="39" ht="18" customHeight="1">
      <c r="A39" s="10" t="inlineStr">
        <is>
          <t>MHS-R025</t>
        </is>
      </c>
      <c r="B39" s="6" t="inlineStr">
        <is>
          <t>Daniel Salim Widjaja</t>
        </is>
      </c>
      <c r="C39" s="6" t="inlineStr">
        <is>
          <t>Food &amp; Beverage (F&amp;B)</t>
        </is>
      </c>
      <c r="D39" s="27" t="n">
        <v>39000</v>
      </c>
      <c r="E39" s="5" t="inlineStr">
        <is>
          <t>Tangerang Selatan</t>
        </is>
      </c>
      <c r="F39" s="5" t="n">
        <v>8</v>
      </c>
      <c r="G39" s="5" t="inlineStr">
        <is>
          <t>Onsite</t>
        </is>
      </c>
      <c r="H39" s="6" t="inlineStr">
        <is>
          <t>Capcut, Canva, Adobe Photoshop, video editing CapCut, komuni</t>
        </is>
      </c>
    </row>
    <row r="40" ht="18" customHeight="1">
      <c r="A40" s="10" t="inlineStr">
        <is>
          <t>MHS-R026</t>
        </is>
      </c>
      <c r="B40" s="6" t="inlineStr">
        <is>
          <t>Cristian Dion</t>
        </is>
      </c>
      <c r="C40" s="6" t="inlineStr">
        <is>
          <t>IT &amp; Software</t>
        </is>
      </c>
      <c r="D40" s="27" t="n">
        <v>57000</v>
      </c>
      <c r="E40" s="5" t="inlineStr">
        <is>
          <t>Jakarta Utara</t>
        </is>
      </c>
      <c r="F40" s="5" t="n">
        <v>12</v>
      </c>
      <c r="G40" s="5" t="inlineStr">
        <is>
          <t>Hybrid</t>
        </is>
      </c>
      <c r="H40" s="6" t="inlineStr">
        <is>
          <t>Make claude code bang</t>
        </is>
      </c>
    </row>
    <row r="41" ht="18" customHeight="1">
      <c r="A41" s="10" t="inlineStr">
        <is>
          <t>MHS-R027</t>
        </is>
      </c>
      <c r="B41" s="6" t="inlineStr">
        <is>
          <t>Jonathan Dave Harianto</t>
        </is>
      </c>
      <c r="C41" s="6" t="inlineStr">
        <is>
          <t>Admin &amp; Office Support</t>
        </is>
      </c>
      <c r="D41" s="27" t="n">
        <v>21000</v>
      </c>
      <c r="E41" s="5" t="inlineStr">
        <is>
          <t>Tangerang Selatan</t>
        </is>
      </c>
      <c r="F41" s="5" t="n">
        <v>15</v>
      </c>
      <c r="G41" s="5" t="inlineStr">
        <is>
          <t>Hybrid</t>
        </is>
      </c>
      <c r="H41" s="6" t="inlineStr">
        <is>
          <t>Canva, can work under duress, team work</t>
        </is>
      </c>
    </row>
    <row r="42" ht="18" customHeight="1">
      <c r="A42" s="10" t="inlineStr">
        <is>
          <t>MHS-R028</t>
        </is>
      </c>
      <c r="B42" s="6" t="inlineStr">
        <is>
          <t>Jonathan Siswoyo</t>
        </is>
      </c>
      <c r="C42" s="6" t="inlineStr">
        <is>
          <t>IT &amp; Software</t>
        </is>
      </c>
      <c r="D42" s="27" t="n">
        <v>36000</v>
      </c>
      <c r="E42" s="5" t="inlineStr">
        <is>
          <t>Jakarta Selatan</t>
        </is>
      </c>
      <c r="F42" s="5" t="n">
        <v>12</v>
      </c>
      <c r="G42" s="5" t="inlineStr">
        <is>
          <t>Remote</t>
        </is>
      </c>
      <c r="H42" s="6" t="inlineStr">
        <is>
          <t>SQL, Python, Node.js, Mampu bekerja individual maupun tim, K</t>
        </is>
      </c>
    </row>
    <row r="43" ht="18" customHeight="1">
      <c r="A43" s="10" t="inlineStr">
        <is>
          <t>MHS-R029</t>
        </is>
      </c>
      <c r="B43" s="6" t="inlineStr">
        <is>
          <t>Christian Melhan</t>
        </is>
      </c>
      <c r="C43" s="6" t="inlineStr">
        <is>
          <t>Design &amp; Creative</t>
        </is>
      </c>
      <c r="D43" s="27" t="n">
        <v>36000</v>
      </c>
      <c r="E43" s="5" t="inlineStr">
        <is>
          <t>Jakarta Barat</t>
        </is>
      </c>
      <c r="F43" s="5" t="n">
        <v>12</v>
      </c>
      <c r="G43" s="5" t="inlineStr">
        <is>
          <t>Remote</t>
        </is>
      </c>
      <c r="H43" s="6" t="inlineStr">
        <is>
          <t>Canva, Adobe Photoshop, Microsoft Office, Adobe Illustrator,</t>
        </is>
      </c>
    </row>
    <row r="44" ht="18" customHeight="1">
      <c r="A44" s="10" t="inlineStr">
        <is>
          <t>MHS-R030</t>
        </is>
      </c>
      <c r="B44" s="6" t="inlineStr">
        <is>
          <t>Sean Antonio</t>
        </is>
      </c>
      <c r="C44" s="6" t="inlineStr">
        <is>
          <t>IT &amp; Software</t>
        </is>
      </c>
      <c r="D44" s="27" t="n">
        <v>23000</v>
      </c>
      <c r="E44" s="5" t="inlineStr">
        <is>
          <t>Jakarta Barat</t>
        </is>
      </c>
      <c r="F44" s="5" t="n">
        <v>30</v>
      </c>
      <c r="G44" s="5" t="inlineStr">
        <is>
          <t>Hybrid</t>
        </is>
      </c>
      <c r="H44" s="6" t="inlineStr">
        <is>
          <t>HTML, CSS, Python dasar, C, Game Development, OOP, Android D</t>
        </is>
      </c>
    </row>
    <row r="45" ht="18" customHeight="1">
      <c r="A45" s="10" t="inlineStr">
        <is>
          <t>MHS-R031</t>
        </is>
      </c>
      <c r="B45" s="6" t="inlineStr">
        <is>
          <t>Juanito Dante</t>
        </is>
      </c>
      <c r="C45" s="6" t="inlineStr">
        <is>
          <t>IT &amp; Software</t>
        </is>
      </c>
      <c r="D45" s="27" t="n">
        <v>15000</v>
      </c>
      <c r="E45" s="5" t="inlineStr">
        <is>
          <t>Jakarta Barat</t>
        </is>
      </c>
      <c r="F45" s="5" t="n">
        <v>15</v>
      </c>
      <c r="G45" s="5" t="inlineStr">
        <is>
          <t>Remote</t>
        </is>
      </c>
      <c r="H45" s="6" t="inlineStr">
        <is>
          <t>Clean architecture, Laravel, Docker, Linux, Server Administr</t>
        </is>
      </c>
    </row>
    <row r="46" ht="18" customHeight="1">
      <c r="A46" s="10" t="inlineStr">
        <is>
          <t>MHS-R032</t>
        </is>
      </c>
      <c r="B46" s="6" t="inlineStr">
        <is>
          <t>Krisantus Amka Ginting</t>
        </is>
      </c>
      <c r="C46" s="6" t="inlineStr">
        <is>
          <t>IT &amp; Software</t>
        </is>
      </c>
      <c r="D46" s="27" t="n">
        <v>23000</v>
      </c>
      <c r="E46" s="5" t="inlineStr">
        <is>
          <t>Jakarta Barat</t>
        </is>
      </c>
      <c r="F46" s="5" t="n">
        <v>8</v>
      </c>
      <c r="G46" s="5" t="inlineStr">
        <is>
          <t>Remote</t>
        </is>
      </c>
      <c r="H46" s="6" t="inlineStr">
        <is>
          <t>Python, Networking, Etical Hack, Kali Linux</t>
        </is>
      </c>
    </row>
    <row r="47" ht="18" customHeight="1">
      <c r="A47" s="10" t="inlineStr">
        <is>
          <t>MHS-R033</t>
        </is>
      </c>
      <c r="B47" s="6" t="inlineStr">
        <is>
          <t>Richard Devin Sutisna</t>
        </is>
      </c>
      <c r="C47" s="6" t="inlineStr">
        <is>
          <t>Food &amp; Beverage (F&amp;B)</t>
        </is>
      </c>
      <c r="D47" s="27" t="n">
        <v>22000</v>
      </c>
      <c r="E47" s="5" t="inlineStr">
        <is>
          <t>Jakarta Pusat</t>
        </is>
      </c>
      <c r="F47" s="5" t="n">
        <v>25</v>
      </c>
      <c r="G47" s="5" t="inlineStr">
        <is>
          <t>Onsite</t>
        </is>
      </c>
      <c r="H47" s="6" t="inlineStr">
        <is>
          <t>Komunikasi yang baik, pelayanan pelanggan, kerja sama tim, b</t>
        </is>
      </c>
    </row>
    <row r="48" ht="18" customHeight="1">
      <c r="A48" s="10" t="inlineStr">
        <is>
          <t>MHS-R034</t>
        </is>
      </c>
      <c r="B48" s="6" t="inlineStr">
        <is>
          <t>Michael Timothy Budhyanto</t>
        </is>
      </c>
      <c r="C48" s="6" t="inlineStr">
        <is>
          <t>IT &amp; Software</t>
        </is>
      </c>
      <c r="D48" s="27" t="n">
        <v>23000</v>
      </c>
      <c r="E48" s="5" t="inlineStr">
        <is>
          <t>Jakarta Pusat</t>
        </is>
      </c>
      <c r="F48" s="5" t="n">
        <v>8</v>
      </c>
      <c r="G48" s="5" t="inlineStr">
        <is>
          <t>Remote</t>
        </is>
      </c>
      <c r="H48" s="6" t="inlineStr">
        <is>
          <t>Canva, adobe photoshop, adobe premier pro, adobe after effec</t>
        </is>
      </c>
    </row>
    <row r="49" ht="18" customHeight="1">
      <c r="A49" s="10" t="inlineStr">
        <is>
          <t>MHS-R035</t>
        </is>
      </c>
      <c r="B49" s="6" t="inlineStr">
        <is>
          <t>Stevano Imanuel Panjaitan</t>
        </is>
      </c>
      <c r="C49" s="6" t="inlineStr">
        <is>
          <t>IT &amp; Software</t>
        </is>
      </c>
      <c r="D49" s="27" t="n">
        <v>34000</v>
      </c>
      <c r="E49" s="5" t="inlineStr">
        <is>
          <t>Jakarta Barat</t>
        </is>
      </c>
      <c r="F49" s="5" t="n">
        <v>20</v>
      </c>
      <c r="G49" s="5" t="inlineStr">
        <is>
          <t>Hybrid</t>
        </is>
      </c>
      <c r="H49" s="6" t="inlineStr">
        <is>
          <t>Canva</t>
        </is>
      </c>
    </row>
    <row r="50" ht="18" customHeight="1">
      <c r="A50" s="10" t="inlineStr">
        <is>
          <t>MHS-R036</t>
        </is>
      </c>
      <c r="B50" s="6" t="inlineStr">
        <is>
          <t>Yedija Teofilus Yonatan</t>
        </is>
      </c>
      <c r="C50" s="6" t="inlineStr">
        <is>
          <t>Design &amp; Creative</t>
        </is>
      </c>
      <c r="D50" s="27" t="n">
        <v>21000</v>
      </c>
      <c r="E50" s="5" t="inlineStr">
        <is>
          <t>Jakarta Barat</t>
        </is>
      </c>
      <c r="F50" s="5" t="n">
        <v>15</v>
      </c>
      <c r="G50" s="5" t="inlineStr">
        <is>
          <t>Remote</t>
        </is>
      </c>
      <c r="H50" s="6" t="inlineStr">
        <is>
          <t>Office suite, canva, clip studio paint, computer engineering</t>
        </is>
      </c>
    </row>
    <row r="51" ht="18" customHeight="1">
      <c r="A51" s="10" t="inlineStr">
        <is>
          <t>MHS-R037</t>
        </is>
      </c>
      <c r="B51" s="6" t="inlineStr">
        <is>
          <t>Pran Rivelo</t>
        </is>
      </c>
      <c r="C51" s="6" t="inlineStr">
        <is>
          <t>Admin &amp; Office Support</t>
        </is>
      </c>
      <c r="D51" s="27" t="n">
        <v>23000</v>
      </c>
      <c r="E51" s="5" t="inlineStr">
        <is>
          <t>Jakarta Barat</t>
        </is>
      </c>
      <c r="F51" s="5" t="n">
        <v>30</v>
      </c>
      <c r="G51" s="5" t="inlineStr">
        <is>
          <t>Onsite</t>
        </is>
      </c>
      <c r="H51" s="6" t="inlineStr">
        <is>
          <t>Pendataan, Dokumentasi, Video editing, Kemampuan bekerja sam</t>
        </is>
      </c>
    </row>
    <row r="52" ht="18" customHeight="1">
      <c r="A52" s="10" t="inlineStr">
        <is>
          <t>MHS-R038</t>
        </is>
      </c>
      <c r="B52" s="6" t="inlineStr">
        <is>
          <t>Harold elnathan lustiandy</t>
        </is>
      </c>
      <c r="C52" s="6" t="inlineStr">
        <is>
          <t>Food &amp; Beverage (F&amp;B)</t>
        </is>
      </c>
      <c r="D52" s="27" t="n">
        <v>60000</v>
      </c>
      <c r="E52" s="5" t="inlineStr">
        <is>
          <t>Jakarta Barat</t>
        </is>
      </c>
      <c r="F52" s="5" t="n">
        <v>10</v>
      </c>
      <c r="G52" s="5" t="inlineStr">
        <is>
          <t>Hybrid</t>
        </is>
      </c>
      <c r="H52" s="6" t="inlineStr">
        <is>
          <t>Oprasional dapur</t>
        </is>
      </c>
    </row>
    <row r="53" ht="18" customHeight="1">
      <c r="A53" s="10" t="inlineStr">
        <is>
          <t>MHS-R039</t>
        </is>
      </c>
      <c r="B53" s="6" t="inlineStr">
        <is>
          <t>Darren Christian Santoso</t>
        </is>
      </c>
      <c r="C53" s="6" t="inlineStr">
        <is>
          <t>Design &amp; Creative</t>
        </is>
      </c>
      <c r="D53" s="27" t="n">
        <v>21000</v>
      </c>
      <c r="E53" s="5" t="inlineStr">
        <is>
          <t>Jakarta Barat</t>
        </is>
      </c>
      <c r="F53" s="5" t="n">
        <v>15</v>
      </c>
      <c r="G53" s="5" t="inlineStr">
        <is>
          <t>Hybrid</t>
        </is>
      </c>
      <c r="H53" s="6" t="inlineStr">
        <is>
          <t>Canva, capcut, adobe illustrator, word</t>
        </is>
      </c>
    </row>
    <row r="54" ht="18" customHeight="1">
      <c r="A54" s="10" t="inlineStr">
        <is>
          <t>MHS-R040</t>
        </is>
      </c>
      <c r="B54" s="6" t="inlineStr">
        <is>
          <t>Ong Kezia Haryanto</t>
        </is>
      </c>
      <c r="C54" s="6" t="inlineStr">
        <is>
          <t>Admin &amp; Office Support</t>
        </is>
      </c>
      <c r="D54" s="27" t="n">
        <v>23000</v>
      </c>
      <c r="E54" s="5" t="inlineStr">
        <is>
          <t>Jakarta Barat</t>
        </is>
      </c>
      <c r="F54" s="5" t="n">
        <v>30</v>
      </c>
      <c r="G54" s="5" t="inlineStr">
        <is>
          <t>Onsite</t>
        </is>
      </c>
      <c r="H54" s="6" t="inlineStr">
        <is>
          <t>Membuat jurnal keuangan, dapat bekerja sama dengan baik, Mic</t>
        </is>
      </c>
    </row>
    <row r="55" ht="18" customHeight="1">
      <c r="A55" s="10" t="inlineStr">
        <is>
          <t>MHS-R041</t>
        </is>
      </c>
      <c r="B55" s="6" t="inlineStr">
        <is>
          <t>Alvino Medwin</t>
        </is>
      </c>
      <c r="C55" s="6" t="inlineStr">
        <is>
          <t>IT &amp; Software</t>
        </is>
      </c>
      <c r="D55" s="27" t="n">
        <v>19000</v>
      </c>
      <c r="E55" s="5" t="inlineStr">
        <is>
          <t>Jakarta Barat</t>
        </is>
      </c>
      <c r="F55" s="5" t="n">
        <v>30</v>
      </c>
      <c r="G55" s="5" t="inlineStr">
        <is>
          <t>Hybrid</t>
        </is>
      </c>
      <c r="H55" s="6" t="inlineStr">
        <is>
          <t>python, html</t>
        </is>
      </c>
    </row>
    <row r="56" ht="18" customHeight="1">
      <c r="A56" s="10" t="inlineStr">
        <is>
          <t>MHS-R042</t>
        </is>
      </c>
      <c r="B56" s="6" t="inlineStr">
        <is>
          <t>Dheryl Christofer Yahya</t>
        </is>
      </c>
      <c r="C56" s="6" t="inlineStr">
        <is>
          <t>IT &amp; Software</t>
        </is>
      </c>
      <c r="D56" s="27" t="n">
        <v>38000</v>
      </c>
      <c r="E56" s="5" t="inlineStr">
        <is>
          <t>Tangerang Selatan</t>
        </is>
      </c>
      <c r="F56" s="5" t="n">
        <v>15</v>
      </c>
      <c r="G56" s="5" t="inlineStr">
        <is>
          <t>Hybrid</t>
        </is>
      </c>
      <c r="H56" s="6" t="inlineStr">
        <is>
          <t>Figma, React, PremierePro, Resolume, ProPresenter</t>
        </is>
      </c>
    </row>
    <row r="57" ht="18" customHeight="1">
      <c r="A57" s="10" t="inlineStr">
        <is>
          <t>MHS-R043</t>
        </is>
      </c>
      <c r="B57" s="6" t="inlineStr">
        <is>
          <t>Jennifer Budi Muljono</t>
        </is>
      </c>
      <c r="C57" s="6" t="inlineStr">
        <is>
          <t>Design &amp; Creative</t>
        </is>
      </c>
      <c r="D57" s="27" t="n">
        <v>38000</v>
      </c>
      <c r="E57" s="5" t="inlineStr">
        <is>
          <t>Jakarta Timur</t>
        </is>
      </c>
      <c r="F57" s="5" t="n">
        <v>15</v>
      </c>
      <c r="G57" s="5" t="inlineStr">
        <is>
          <t>Remote</t>
        </is>
      </c>
      <c r="H57" s="6" t="inlineStr">
        <is>
          <t>Canva, Adobe Photoshop, Capcut, Clip Studio Paint, mampu bek</t>
        </is>
      </c>
    </row>
    <row r="58" ht="18" customHeight="1">
      <c r="A58" s="10" t="inlineStr">
        <is>
          <t>MHS-R044</t>
        </is>
      </c>
      <c r="B58" s="6" t="inlineStr">
        <is>
          <t>Ruben Marcell Wirayadi</t>
        </is>
      </c>
      <c r="C58" s="6" t="inlineStr">
        <is>
          <t>Marketing &amp; Sales</t>
        </is>
      </c>
      <c r="D58" s="27" t="n">
        <v>55000</v>
      </c>
      <c r="E58" s="5" t="inlineStr">
        <is>
          <t>Jakarta Barat</t>
        </is>
      </c>
      <c r="F58" s="5" t="n">
        <v>8</v>
      </c>
      <c r="G58" s="5" t="inlineStr">
        <is>
          <t>Hybrid</t>
        </is>
      </c>
      <c r="H58" s="6" t="inlineStr">
        <is>
          <t>komunikasi yang teratur. Mindset sales yang bisa dipake di k</t>
        </is>
      </c>
    </row>
    <row r="59" ht="18" customHeight="1">
      <c r="A59" s="10" t="inlineStr">
        <is>
          <t>MHS-R045</t>
        </is>
      </c>
      <c r="B59" s="6" t="inlineStr">
        <is>
          <t>Janisha Jaya</t>
        </is>
      </c>
      <c r="C59" s="6" t="inlineStr">
        <is>
          <t>IT &amp; Software</t>
        </is>
      </c>
      <c r="D59" s="27" t="n">
        <v>23000</v>
      </c>
      <c r="E59" s="5" t="inlineStr">
        <is>
          <t>Tangerang Selatan</t>
        </is>
      </c>
      <c r="F59" s="5" t="n">
        <v>8</v>
      </c>
      <c r="G59" s="5" t="inlineStr">
        <is>
          <t>Hybrid</t>
        </is>
      </c>
      <c r="H59" s="6" t="inlineStr">
        <is>
          <t>Fullstack developer, Python dasar, analisis data, Android ap</t>
        </is>
      </c>
    </row>
    <row r="60" ht="18" customHeight="1">
      <c r="A60" s="10" t="inlineStr">
        <is>
          <t>MHS-R046</t>
        </is>
      </c>
      <c r="B60" s="6" t="inlineStr">
        <is>
          <t>Darren Susento Triady</t>
        </is>
      </c>
      <c r="C60" s="6" t="inlineStr">
        <is>
          <t>Marketing &amp; Sales</t>
        </is>
      </c>
      <c r="D60" s="27" t="n">
        <v>44000</v>
      </c>
      <c r="E60" s="5" t="inlineStr">
        <is>
          <t>Jakarta Barat</t>
        </is>
      </c>
      <c r="F60" s="5" t="n">
        <v>10</v>
      </c>
      <c r="G60" s="5" t="inlineStr">
        <is>
          <t>Hybrid</t>
        </is>
      </c>
      <c r="H60" s="6" t="inlineStr">
        <is>
          <t>Fasih dalam berbahasa inggris, memiliki komunikasi serta pel</t>
        </is>
      </c>
    </row>
    <row r="61" ht="18" customHeight="1">
      <c r="A61" s="10" t="inlineStr">
        <is>
          <t>MHS-R047</t>
        </is>
      </c>
      <c r="B61" s="6" t="inlineStr">
        <is>
          <t>Owen Antony</t>
        </is>
      </c>
      <c r="C61" s="6" t="inlineStr">
        <is>
          <t>IT &amp; Software</t>
        </is>
      </c>
      <c r="D61" s="27" t="n">
        <v>39000</v>
      </c>
      <c r="E61" s="5" t="inlineStr">
        <is>
          <t>Jakarta Utara</t>
        </is>
      </c>
      <c r="F61" s="5" t="n">
        <v>8</v>
      </c>
      <c r="G61" s="5" t="inlineStr">
        <is>
          <t>Remote</t>
        </is>
      </c>
      <c r="H61" s="6" t="inlineStr">
        <is>
          <t>Python, integrasi API, pengembangan backend, otomatisasi alu</t>
        </is>
      </c>
    </row>
    <row r="62" ht="18" customHeight="1">
      <c r="A62" s="10" t="inlineStr">
        <is>
          <t>MHS-R048</t>
        </is>
      </c>
      <c r="B62" s="6" t="inlineStr">
        <is>
          <t>Marlon Tristan Basrin</t>
        </is>
      </c>
      <c r="C62" s="6" t="inlineStr">
        <is>
          <t>Design &amp; Creative</t>
        </is>
      </c>
      <c r="D62" s="27" t="n">
        <v>22000</v>
      </c>
      <c r="E62" s="5" t="inlineStr">
        <is>
          <t>Jakarta Barat</t>
        </is>
      </c>
      <c r="F62" s="5" t="n">
        <v>20</v>
      </c>
      <c r="G62" s="5" t="inlineStr">
        <is>
          <t>Onsite</t>
        </is>
      </c>
      <c r="H62" s="6" t="inlineStr">
        <is>
          <t>Adobe Photoshop, Adobe Illustrator, Adobe After Effects, Fig</t>
        </is>
      </c>
    </row>
    <row r="63" ht="18" customHeight="1">
      <c r="A63" s="10" t="inlineStr">
        <is>
          <t>MHS-R049</t>
        </is>
      </c>
      <c r="B63" s="6" t="inlineStr">
        <is>
          <t>Jeremy Aldo</t>
        </is>
      </c>
      <c r="C63" s="6" t="inlineStr">
        <is>
          <t>Admin &amp; Office Support</t>
        </is>
      </c>
      <c r="D63" s="27" t="n">
        <v>28000</v>
      </c>
      <c r="E63" s="5" t="inlineStr">
        <is>
          <t>Tangerang Selatan</t>
        </is>
      </c>
      <c r="F63" s="5" t="n">
        <v>25</v>
      </c>
      <c r="G63" s="5" t="inlineStr">
        <is>
          <t>Remote</t>
        </is>
      </c>
      <c r="H63" s="6" t="inlineStr">
        <is>
          <t>Kemampuan bekerja sama, komunikasi , mengatasi masalah denga</t>
        </is>
      </c>
    </row>
    <row r="64" ht="18" customHeight="1">
      <c r="A64" s="10" t="inlineStr">
        <is>
          <t>MHS-R050</t>
        </is>
      </c>
      <c r="B64" s="6" t="inlineStr">
        <is>
          <t>Brandon Jeremiah Sutedja</t>
        </is>
      </c>
      <c r="C64" s="6" t="inlineStr">
        <is>
          <t>Education &amp; Tutoring</t>
        </is>
      </c>
      <c r="D64" s="27" t="n">
        <v>21000</v>
      </c>
      <c r="E64" s="5" t="inlineStr">
        <is>
          <t>Jakarta Utara</t>
        </is>
      </c>
      <c r="F64" s="5" t="n">
        <v>15</v>
      </c>
      <c r="G64" s="5" t="inlineStr">
        <is>
          <t>Onsite</t>
        </is>
      </c>
      <c r="H64" s="6" t="inlineStr">
        <is>
          <t>membuat modul belajar, komunikasi yang baik, time management</t>
        </is>
      </c>
    </row>
    <row r="65">
      <c r="A65" s="10" t="inlineStr">
        <is>
          <t>RATA2</t>
        </is>
      </c>
      <c r="B65" s="14" t="n"/>
      <c r="C65" s="7" t="n"/>
      <c r="D65" s="28">
        <f>AVERAGE(D16:D64)</f>
        <v/>
      </c>
      <c r="F65" s="29">
        <f>AVERAGE(F16:F64)</f>
        <v/>
      </c>
      <c r="H65" s="6">
        <f>COUNTIF(C16:C64,"IT &amp; Software")&amp;" dari 49 minat IT"</f>
        <v/>
      </c>
    </row>
    <row r="66">
      <c r="A66" s="10" t="inlineStr">
        <is>
          <t>MIN / MAX</t>
        </is>
      </c>
      <c r="B66" s="14" t="n"/>
      <c r="C66" s="7" t="n"/>
      <c r="D66" s="5">
        <f>MIN(D16:D64)&amp;" – "&amp;MAX(D16:D64)</f>
        <v/>
      </c>
      <c r="F66" s="5">
        <f>MIN(F16:F64)&amp;" – "&amp;MAX(F16:F64)</f>
        <v/>
      </c>
      <c r="H66" s="6">
        <f>COUNTIF(C16:C64,"Education &amp; Tutoring")&amp;" minat Edukasi"</f>
        <v/>
      </c>
    </row>
  </sheetData>
  <autoFilter ref="A15:H64"/>
  <mergeCells count="6">
    <mergeCell ref="A12:H12"/>
    <mergeCell ref="A66:C66"/>
    <mergeCell ref="A2:H2"/>
    <mergeCell ref="A14:H14"/>
    <mergeCell ref="A1:H1"/>
    <mergeCell ref="A65:C65"/>
  </mergeCells>
  <conditionalFormatting sqref="A16:H64">
    <cfRule type="expression" priority="1" dxfId="0">
      <formula>$A16=$B$3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44" customWidth="1" min="3" max="3"/>
    <col width="26" customWidth="1" min="4" max="4"/>
    <col width="20" customWidth="1" min="5" max="5"/>
    <col width="13" customWidth="1" min="6" max="6"/>
    <col width="17" customWidth="1" min="7" max="7"/>
    <col width="10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8" customHeight="1">
      <c r="A1" s="1" t="inlineStr">
        <is>
          <t>03 — 15 ALTERNATIF REAL + MATRIKS KEPUTUSAN X (C1–C5)</t>
        </is>
      </c>
    </row>
    <row r="2" ht="30" customHeight="1">
      <c r="A2" s="2" t="inlineStr">
        <is>
          <t>15 dari 221 lowongan real, DIACAK (tidak urut skor) agar RANK bermakna  •  X = hasil pipeline real utk MHS-R050  •  Tipe+Bobot di-link dari 01_KRITERIA</t>
        </is>
      </c>
    </row>
    <row r="3" ht="40" customHeight="1">
      <c r="A3" s="4" t="inlineStr">
        <is>
          <t>Kode</t>
        </is>
      </c>
      <c r="B3" s="4" t="inlineStr">
        <is>
          <t>Job ID</t>
        </is>
      </c>
      <c r="C3" s="4" t="inlineStr">
        <is>
          <t>Judul Lowongan (real)</t>
        </is>
      </c>
      <c r="D3" s="4" t="inlineStr">
        <is>
          <t>Perusahaan (real)</t>
        </is>
      </c>
      <c r="E3" s="4" t="inlineStr">
        <is>
          <t>Kategori</t>
        </is>
      </c>
      <c r="F3" s="4" t="inlineStr">
        <is>
          <t>Gaji/jam</t>
        </is>
      </c>
      <c r="G3" s="4" t="inlineStr">
        <is>
          <t>Lokasi</t>
        </is>
      </c>
      <c r="H3" s="4" t="inlineStr">
        <is>
          <t>Jam</t>
        </is>
      </c>
      <c r="I3" s="4" t="inlineStr">
        <is>
          <t>Sistem</t>
        </is>
      </c>
      <c r="J3" s="4" t="inlineStr">
        <is>
          <t>C1</t>
        </is>
      </c>
      <c r="K3" s="4" t="inlineStr">
        <is>
          <t>C2</t>
        </is>
      </c>
      <c r="L3" s="4" t="inlineStr">
        <is>
          <t>C3</t>
        </is>
      </c>
      <c r="M3" s="4" t="inlineStr">
        <is>
          <t>C4</t>
        </is>
      </c>
      <c r="N3" s="4" t="inlineStr">
        <is>
          <t>C5</t>
        </is>
      </c>
    </row>
    <row r="4" ht="30" customHeight="1">
      <c r="A4" s="10" t="inlineStr">
        <is>
          <t>A1</t>
        </is>
      </c>
      <c r="B4" s="10" t="inlineStr">
        <is>
          <t>JOB-1194</t>
        </is>
      </c>
      <c r="C4" s="6" t="inlineStr">
        <is>
          <t>[Part-time] - Pengajar Bahasa Inggris - Jakarta Barat</t>
        </is>
      </c>
      <c r="D4" s="6" t="inlineStr">
        <is>
          <t>Ruangguru</t>
        </is>
      </c>
      <c r="E4" s="6" t="inlineStr">
        <is>
          <t>Education &amp; Tutoring</t>
        </is>
      </c>
      <c r="F4" s="27" t="n">
        <v>45000</v>
      </c>
      <c r="G4" s="5" t="inlineStr">
        <is>
          <t>Jakarta Barat</t>
        </is>
      </c>
      <c r="H4" s="30" t="n">
        <v>12</v>
      </c>
      <c r="I4" s="5" t="inlineStr">
        <is>
          <t>Onsite</t>
        </is>
      </c>
      <c r="J4" s="31" t="n">
        <v>1</v>
      </c>
      <c r="K4" s="31" t="n">
        <v>2</v>
      </c>
      <c r="L4" s="31" t="n">
        <v>0.8</v>
      </c>
      <c r="M4" s="31" t="n">
        <v>0.85</v>
      </c>
      <c r="N4" s="31" t="n">
        <v>0.288</v>
      </c>
    </row>
    <row r="5" ht="30" customHeight="1">
      <c r="A5" s="10" t="inlineStr">
        <is>
          <t>A2</t>
        </is>
      </c>
      <c r="B5" s="10" t="inlineStr">
        <is>
          <t>JOB-1181</t>
        </is>
      </c>
      <c r="C5" s="6" t="inlineStr">
        <is>
          <t>Part Time Guru Ekskul Board Game di sekolah sekitar Tangsel</t>
        </is>
      </c>
      <c r="D5" s="6" t="inlineStr">
        <is>
          <t>Board Game Class</t>
        </is>
      </c>
      <c r="E5" s="6" t="inlineStr">
        <is>
          <t>Education &amp; Tutoring</t>
        </is>
      </c>
      <c r="F5" s="27" t="n">
        <v>45000</v>
      </c>
      <c r="G5" s="5" t="inlineStr">
        <is>
          <t>Jakarta Utara</t>
        </is>
      </c>
      <c r="H5" s="30" t="n">
        <v>16</v>
      </c>
      <c r="I5" s="5" t="inlineStr">
        <is>
          <t>Hybrid</t>
        </is>
      </c>
      <c r="J5" s="31" t="n">
        <v>1</v>
      </c>
      <c r="K5" s="31" t="n">
        <v>2</v>
      </c>
      <c r="L5" s="31" t="n">
        <v>1</v>
      </c>
      <c r="M5" s="31" t="n">
        <v>0.95</v>
      </c>
      <c r="N5" s="31" t="n">
        <v>0.329</v>
      </c>
    </row>
    <row r="6" ht="30" customHeight="1">
      <c r="A6" s="10" t="inlineStr">
        <is>
          <t>A3</t>
        </is>
      </c>
      <c r="B6" s="10" t="inlineStr">
        <is>
          <t>JOB-1159</t>
        </is>
      </c>
      <c r="C6" s="6" t="inlineStr">
        <is>
          <t>Live streaming</t>
        </is>
      </c>
      <c r="D6" s="6" t="inlineStr">
        <is>
          <t>honeybaby</t>
        </is>
      </c>
      <c r="E6" s="6" t="inlineStr">
        <is>
          <t>Content &amp; Media</t>
        </is>
      </c>
      <c r="F6" s="27" t="n">
        <v>28000</v>
      </c>
      <c r="G6" s="5" t="inlineStr">
        <is>
          <t>Bekasi</t>
        </is>
      </c>
      <c r="H6" s="30" t="n">
        <v>22</v>
      </c>
      <c r="I6" s="5" t="inlineStr">
        <is>
          <t>Onsite</t>
        </is>
      </c>
      <c r="J6" s="31" t="n">
        <v>0.3</v>
      </c>
      <c r="K6" s="31" t="n">
        <v>1.3333</v>
      </c>
      <c r="L6" s="31" t="n">
        <v>0.4</v>
      </c>
      <c r="M6" s="31" t="n">
        <v>0.65</v>
      </c>
      <c r="N6" s="31" t="n">
        <v>0.0457</v>
      </c>
    </row>
    <row r="7" ht="30" customHeight="1">
      <c r="A7" s="10" t="inlineStr">
        <is>
          <t>A4</t>
        </is>
      </c>
      <c r="B7" s="10" t="inlineStr">
        <is>
          <t>JOB-1038</t>
        </is>
      </c>
      <c r="C7" s="6" t="inlineStr">
        <is>
          <t>SAT Tutor (Remote)</t>
        </is>
      </c>
      <c r="D7" s="6" t="inlineStr">
        <is>
          <t>Kobi Education</t>
        </is>
      </c>
      <c r="E7" s="6" t="inlineStr">
        <is>
          <t>Education &amp; Tutoring</t>
        </is>
      </c>
      <c r="F7" s="27" t="n">
        <v>50000</v>
      </c>
      <c r="G7" s="5" t="inlineStr">
        <is>
          <t>Remote</t>
        </is>
      </c>
      <c r="H7" s="30" t="n">
        <v>14</v>
      </c>
      <c r="I7" s="5" t="inlineStr">
        <is>
          <t>Remote</t>
        </is>
      </c>
      <c r="J7" s="31" t="n">
        <v>1</v>
      </c>
      <c r="K7" s="31" t="n">
        <v>2</v>
      </c>
      <c r="L7" s="31" t="n">
        <v>1</v>
      </c>
      <c r="M7" s="31" t="n">
        <v>0.95</v>
      </c>
      <c r="N7" s="31" t="n">
        <v>0.288</v>
      </c>
    </row>
    <row r="8" ht="30" customHeight="1">
      <c r="A8" s="10" t="inlineStr">
        <is>
          <t>A5</t>
        </is>
      </c>
      <c r="B8" s="10" t="inlineStr">
        <is>
          <t>JOB-1234</t>
        </is>
      </c>
      <c r="C8" s="6" t="inlineStr">
        <is>
          <t>Graphic Designer</t>
        </is>
      </c>
      <c r="D8" s="6" t="inlineStr">
        <is>
          <t>MING CHA</t>
        </is>
      </c>
      <c r="E8" s="6" t="inlineStr">
        <is>
          <t>Design &amp; Creative</t>
        </is>
      </c>
      <c r="F8" s="27" t="n">
        <v>38000</v>
      </c>
      <c r="G8" s="5" t="inlineStr">
        <is>
          <t>Remote</t>
        </is>
      </c>
      <c r="H8" s="30" t="n">
        <v>22</v>
      </c>
      <c r="I8" s="5" t="inlineStr">
        <is>
          <t>Remote</t>
        </is>
      </c>
      <c r="J8" s="31" t="n">
        <v>0.3</v>
      </c>
      <c r="K8" s="31" t="n">
        <v>1.8095</v>
      </c>
      <c r="L8" s="31" t="n">
        <v>1</v>
      </c>
      <c r="M8" s="31" t="n">
        <v>0.65</v>
      </c>
      <c r="N8" s="31" t="n">
        <v>0</v>
      </c>
    </row>
    <row r="9" ht="30" customHeight="1">
      <c r="A9" s="10" t="inlineStr">
        <is>
          <t>A6</t>
        </is>
      </c>
      <c r="B9" s="10" t="inlineStr">
        <is>
          <t>JOB-1233</t>
        </is>
      </c>
      <c r="C9" s="6" t="inlineStr">
        <is>
          <t>Mandarin Translator (Part Time)</t>
        </is>
      </c>
      <c r="D9" s="6" t="inlineStr">
        <is>
          <t>PT. Qingsong Business Indonesia</t>
        </is>
      </c>
      <c r="E9" s="6" t="inlineStr">
        <is>
          <t>Education &amp; Tutoring</t>
        </is>
      </c>
      <c r="F9" s="27" t="n">
        <v>45000</v>
      </c>
      <c r="G9" s="5" t="inlineStr">
        <is>
          <t>Remote</t>
        </is>
      </c>
      <c r="H9" s="30" t="n">
        <v>16</v>
      </c>
      <c r="I9" s="5" t="inlineStr">
        <is>
          <t>Remote</t>
        </is>
      </c>
      <c r="J9" s="31" t="n">
        <v>1</v>
      </c>
      <c r="K9" s="31" t="n">
        <v>2</v>
      </c>
      <c r="L9" s="31" t="n">
        <v>1</v>
      </c>
      <c r="M9" s="31" t="n">
        <v>0.95</v>
      </c>
      <c r="N9" s="31" t="n">
        <v>0.0566</v>
      </c>
    </row>
    <row r="10" ht="30" customHeight="1">
      <c r="A10" s="10" t="inlineStr">
        <is>
          <t>A7</t>
        </is>
      </c>
      <c r="B10" s="10" t="inlineStr">
        <is>
          <t>JOB-1095</t>
        </is>
      </c>
      <c r="C10" s="6" t="inlineStr">
        <is>
          <t>Asisten Operasi Penjualan</t>
        </is>
      </c>
      <c r="D10" s="6" t="inlineStr">
        <is>
          <t>Alzaidanmotor</t>
        </is>
      </c>
      <c r="E10" s="6" t="inlineStr">
        <is>
          <t>Admin &amp; Office Support</t>
        </is>
      </c>
      <c r="F10" s="27" t="n">
        <v>25000</v>
      </c>
      <c r="G10" s="5" t="inlineStr">
        <is>
          <t>Depok</t>
        </is>
      </c>
      <c r="H10" s="30" t="n">
        <v>18</v>
      </c>
      <c r="I10" s="5" t="inlineStr">
        <is>
          <t>Onsite</t>
        </is>
      </c>
      <c r="J10" s="31" t="n">
        <v>0.3</v>
      </c>
      <c r="K10" s="31" t="n">
        <v>1.1905</v>
      </c>
      <c r="L10" s="31" t="n">
        <v>0.4</v>
      </c>
      <c r="M10" s="31" t="n">
        <v>0.85</v>
      </c>
      <c r="N10" s="31" t="n">
        <v>0.7528</v>
      </c>
    </row>
    <row r="11" ht="30" customHeight="1">
      <c r="A11" s="10" t="inlineStr">
        <is>
          <t>A8</t>
        </is>
      </c>
      <c r="B11" s="10" t="inlineStr">
        <is>
          <t>JOB-1351</t>
        </is>
      </c>
      <c r="C11" s="6" t="inlineStr">
        <is>
          <t>Guru Mandarin HSK 5</t>
        </is>
      </c>
      <c r="D11" s="6" t="inlineStr">
        <is>
          <t>Mitra Perusahaan Loker.id</t>
        </is>
      </c>
      <c r="E11" s="6" t="inlineStr">
        <is>
          <t>Education &amp; Tutoring</t>
        </is>
      </c>
      <c r="F11" s="27" t="n">
        <v>42000</v>
      </c>
      <c r="G11" s="5" t="inlineStr">
        <is>
          <t>Jakarta Barat</t>
        </is>
      </c>
      <c r="H11" s="30" t="n">
        <v>16</v>
      </c>
      <c r="I11" s="5" t="inlineStr">
        <is>
          <t>Hybrid</t>
        </is>
      </c>
      <c r="J11" s="31" t="n">
        <v>1</v>
      </c>
      <c r="K11" s="31" t="n">
        <v>2</v>
      </c>
      <c r="L11" s="31" t="n">
        <v>0.8</v>
      </c>
      <c r="M11" s="31" t="n">
        <v>0.95</v>
      </c>
      <c r="N11" s="31" t="n">
        <v>0.7528</v>
      </c>
    </row>
    <row r="12" ht="30" customHeight="1">
      <c r="A12" s="10" t="inlineStr">
        <is>
          <t>A9</t>
        </is>
      </c>
      <c r="B12" s="10" t="inlineStr">
        <is>
          <t>JOB-1193</t>
        </is>
      </c>
      <c r="C12" s="6" t="inlineStr">
        <is>
          <t>Marketplace Customer Service (Part-Time &amp; Remote)</t>
        </is>
      </c>
      <c r="D12" s="6" t="inlineStr">
        <is>
          <t>PT RAMA PUTRA DJAYA</t>
        </is>
      </c>
      <c r="E12" s="6" t="inlineStr">
        <is>
          <t>Customer Service &amp; Support</t>
        </is>
      </c>
      <c r="F12" s="27" t="n">
        <v>35000</v>
      </c>
      <c r="G12" s="5" t="inlineStr">
        <is>
          <t>Remote</t>
        </is>
      </c>
      <c r="H12" s="30" t="n">
        <v>18</v>
      </c>
      <c r="I12" s="5" t="inlineStr">
        <is>
          <t>Remote</t>
        </is>
      </c>
      <c r="J12" s="31" t="n">
        <v>0.3</v>
      </c>
      <c r="K12" s="31" t="n">
        <v>1.6667</v>
      </c>
      <c r="L12" s="31" t="n">
        <v>1</v>
      </c>
      <c r="M12" s="31" t="n">
        <v>0.85</v>
      </c>
      <c r="N12" s="31" t="n">
        <v>0.0402</v>
      </c>
    </row>
    <row r="13" ht="30" customHeight="1">
      <c r="A13" s="10" t="inlineStr">
        <is>
          <t>A10</t>
        </is>
      </c>
      <c r="B13" s="10" t="inlineStr">
        <is>
          <t>JOB-1166</t>
        </is>
      </c>
      <c r="C13" s="6" t="inlineStr">
        <is>
          <t>Mandarin Tutor</t>
        </is>
      </c>
      <c r="D13" s="6" t="inlineStr">
        <is>
          <t>CV. Matahari Pranata Kreatif (Taeyang Kulture)</t>
        </is>
      </c>
      <c r="E13" s="6" t="inlineStr">
        <is>
          <t>Education &amp; Tutoring</t>
        </is>
      </c>
      <c r="F13" s="27" t="n">
        <v>40000</v>
      </c>
      <c r="G13" s="5" t="inlineStr">
        <is>
          <t>Remote</t>
        </is>
      </c>
      <c r="H13" s="30" t="n">
        <v>14</v>
      </c>
      <c r="I13" s="5" t="inlineStr">
        <is>
          <t>Remote</t>
        </is>
      </c>
      <c r="J13" s="31" t="n">
        <v>1</v>
      </c>
      <c r="K13" s="31" t="n">
        <v>1.9048</v>
      </c>
      <c r="L13" s="31" t="n">
        <v>1</v>
      </c>
      <c r="M13" s="31" t="n">
        <v>0.95</v>
      </c>
      <c r="N13" s="31" t="n">
        <v>0.288</v>
      </c>
    </row>
    <row r="14" ht="30" customHeight="1">
      <c r="A14" s="10" t="inlineStr">
        <is>
          <t>A11</t>
        </is>
      </c>
      <c r="B14" s="10" t="inlineStr">
        <is>
          <t>JOB-1167</t>
        </is>
      </c>
      <c r="C14" s="6" t="inlineStr">
        <is>
          <t>Chief Creative Officer (CCO)</t>
        </is>
      </c>
      <c r="D14" s="6" t="inlineStr">
        <is>
          <t>PT Global Platform Group</t>
        </is>
      </c>
      <c r="E14" s="6" t="inlineStr">
        <is>
          <t>Design &amp; Creative</t>
        </is>
      </c>
      <c r="F14" s="27" t="n">
        <v>25000</v>
      </c>
      <c r="G14" s="5" t="inlineStr">
        <is>
          <t>Tangerang Selatan</t>
        </is>
      </c>
      <c r="H14" s="30" t="n">
        <v>20</v>
      </c>
      <c r="I14" s="5" t="inlineStr">
        <is>
          <t>Hybrid</t>
        </is>
      </c>
      <c r="J14" s="31" t="n">
        <v>0.3</v>
      </c>
      <c r="K14" s="31" t="n">
        <v>1.1905</v>
      </c>
      <c r="L14" s="31" t="n">
        <v>0.4</v>
      </c>
      <c r="M14" s="31" t="n">
        <v>0.75</v>
      </c>
      <c r="N14" s="31" t="n">
        <v>0</v>
      </c>
    </row>
    <row r="15" ht="30" customHeight="1">
      <c r="A15" s="10" t="inlineStr">
        <is>
          <t>A12</t>
        </is>
      </c>
      <c r="B15" s="10" t="inlineStr">
        <is>
          <t>JOB-1157</t>
        </is>
      </c>
      <c r="C15" s="6" t="inlineStr">
        <is>
          <t>Guru Robotic Dan AI ( Artificial Intelligence )</t>
        </is>
      </c>
      <c r="D15" s="6" t="inlineStr">
        <is>
          <t>Coding Academy Indonesia</t>
        </is>
      </c>
      <c r="E15" s="6" t="inlineStr">
        <is>
          <t>Education &amp; Tutoring</t>
        </is>
      </c>
      <c r="F15" s="27" t="n">
        <v>38000</v>
      </c>
      <c r="G15" s="5" t="inlineStr">
        <is>
          <t>Remote</t>
        </is>
      </c>
      <c r="H15" s="30" t="n">
        <v>14</v>
      </c>
      <c r="I15" s="5" t="inlineStr">
        <is>
          <t>Remote</t>
        </is>
      </c>
      <c r="J15" s="31" t="n">
        <v>1</v>
      </c>
      <c r="K15" s="31" t="n">
        <v>1.8095</v>
      </c>
      <c r="L15" s="31" t="n">
        <v>1</v>
      </c>
      <c r="M15" s="31" t="n">
        <v>0.95</v>
      </c>
      <c r="N15" s="31" t="n">
        <v>0.329</v>
      </c>
    </row>
    <row r="16" ht="30" customHeight="1">
      <c r="A16" s="10" t="inlineStr">
        <is>
          <t>A13</t>
        </is>
      </c>
      <c r="B16" s="10" t="inlineStr">
        <is>
          <t>JOB-1067</t>
        </is>
      </c>
      <c r="C16" s="6" t="inlineStr">
        <is>
          <t>SAT Tutor</t>
        </is>
      </c>
      <c r="D16" s="6" t="inlineStr">
        <is>
          <t>Kobi Education</t>
        </is>
      </c>
      <c r="E16" s="6" t="inlineStr">
        <is>
          <t>Education &amp; Tutoring</t>
        </is>
      </c>
      <c r="F16" s="27" t="n">
        <v>45000</v>
      </c>
      <c r="G16" s="5" t="inlineStr">
        <is>
          <t>Jakarta Selatan</t>
        </is>
      </c>
      <c r="H16" s="30" t="n">
        <v>16</v>
      </c>
      <c r="I16" s="5" t="inlineStr">
        <is>
          <t>Onsite</t>
        </is>
      </c>
      <c r="J16" s="31" t="n">
        <v>1</v>
      </c>
      <c r="K16" s="31" t="n">
        <v>2</v>
      </c>
      <c r="L16" s="31" t="n">
        <v>0.8</v>
      </c>
      <c r="M16" s="31" t="n">
        <v>0.95</v>
      </c>
      <c r="N16" s="31" t="n">
        <v>0.0566</v>
      </c>
    </row>
    <row r="17" ht="30" customHeight="1">
      <c r="A17" s="10" t="inlineStr">
        <is>
          <t>A14</t>
        </is>
      </c>
      <c r="B17" s="10" t="inlineStr">
        <is>
          <t>JOB-1255</t>
        </is>
      </c>
      <c r="C17" s="6" t="inlineStr">
        <is>
          <t>Japanese Tutor / Pengajar Bahasa Jepang - Jakarta (Part Time)</t>
        </is>
      </c>
      <c r="D17" s="6" t="inlineStr">
        <is>
          <t>CV. Kukche Mitra Sukses</t>
        </is>
      </c>
      <c r="E17" s="6" t="inlineStr">
        <is>
          <t>Education &amp; Tutoring</t>
        </is>
      </c>
      <c r="F17" s="27" t="n">
        <v>45000</v>
      </c>
      <c r="G17" s="5" t="inlineStr">
        <is>
          <t>Jakarta Selatan</t>
        </is>
      </c>
      <c r="H17" s="30" t="n">
        <v>16</v>
      </c>
      <c r="I17" s="5" t="inlineStr">
        <is>
          <t>Onsite</t>
        </is>
      </c>
      <c r="J17" s="31" t="n">
        <v>1</v>
      </c>
      <c r="K17" s="31" t="n">
        <v>2</v>
      </c>
      <c r="L17" s="31" t="n">
        <v>0.8</v>
      </c>
      <c r="M17" s="31" t="n">
        <v>0.95</v>
      </c>
      <c r="N17" s="31" t="n">
        <v>0.0639</v>
      </c>
    </row>
    <row r="18" ht="30" customHeight="1">
      <c r="A18" s="10" t="inlineStr">
        <is>
          <t>A15</t>
        </is>
      </c>
      <c r="B18" s="10" t="inlineStr">
        <is>
          <t>JOB-1196</t>
        </is>
      </c>
      <c r="C18" s="6" t="inlineStr">
        <is>
          <t>Guru Bahasa Inggris Online - Part Time</t>
        </is>
      </c>
      <c r="D18" s="6" t="inlineStr">
        <is>
          <t>PT Gapai Cita Rahardjo</t>
        </is>
      </c>
      <c r="E18" s="6" t="inlineStr">
        <is>
          <t>Education &amp; Tutoring</t>
        </is>
      </c>
      <c r="F18" s="27" t="n">
        <v>38000</v>
      </c>
      <c r="G18" s="5" t="inlineStr">
        <is>
          <t>Remote</t>
        </is>
      </c>
      <c r="H18" s="30" t="n">
        <v>14</v>
      </c>
      <c r="I18" s="5" t="inlineStr">
        <is>
          <t>Remote</t>
        </is>
      </c>
      <c r="J18" s="31" t="n">
        <v>1</v>
      </c>
      <c r="K18" s="31" t="n">
        <v>1.8095</v>
      </c>
      <c r="L18" s="31" t="n">
        <v>1</v>
      </c>
      <c r="M18" s="31" t="n">
        <v>0.95</v>
      </c>
      <c r="N18" s="31" t="n">
        <v>0.288</v>
      </c>
    </row>
    <row r="19">
      <c r="A19" s="10" t="inlineStr">
        <is>
          <t>Tipe ⇐ 01_KRITERIA</t>
        </is>
      </c>
      <c r="B19" s="14" t="n"/>
      <c r="C19" s="14" t="n"/>
      <c r="D19" s="14" t="n"/>
      <c r="E19" s="14" t="n"/>
      <c r="F19" s="14" t="n"/>
      <c r="G19" s="14" t="n"/>
      <c r="H19" s="14" t="n"/>
      <c r="I19" s="7" t="n"/>
      <c r="J19" s="20">
        <f>'01_KRITERIA'!D4</f>
        <v/>
      </c>
      <c r="K19" s="20">
        <f>'01_KRITERIA'!D5</f>
        <v/>
      </c>
      <c r="L19" s="20">
        <f>'01_KRITERIA'!D6</f>
        <v/>
      </c>
      <c r="M19" s="20">
        <f>'01_KRITERIA'!D7</f>
        <v/>
      </c>
      <c r="N19" s="20">
        <f>'01_KRITERIA'!D8</f>
        <v/>
      </c>
    </row>
    <row r="20">
      <c r="A20" s="10" t="inlineStr">
        <is>
          <t>Bobot ⇐ 01_KRITERIA</t>
        </is>
      </c>
      <c r="B20" s="14" t="n"/>
      <c r="C20" s="14" t="n"/>
      <c r="D20" s="14" t="n"/>
      <c r="E20" s="14" t="n"/>
      <c r="F20" s="14" t="n"/>
      <c r="G20" s="14" t="n"/>
      <c r="H20" s="14" t="n"/>
      <c r="I20" s="7" t="n"/>
      <c r="J20" s="13">
        <f>'01_KRITERIA'!F4</f>
        <v/>
      </c>
      <c r="K20" s="13">
        <f>'01_KRITERIA'!F5</f>
        <v/>
      </c>
      <c r="L20" s="13">
        <f>'01_KRITERIA'!F6</f>
        <v/>
      </c>
      <c r="M20" s="13">
        <f>'01_KRITERIA'!F7</f>
        <v/>
      </c>
      <c r="N20" s="13">
        <f>'01_KRITERIA'!F8</f>
        <v/>
      </c>
    </row>
    <row r="21">
      <c r="A21" s="10" t="inlineStr">
        <is>
          <t>MAX</t>
        </is>
      </c>
      <c r="B21" s="14" t="n"/>
      <c r="C21" s="14" t="n"/>
      <c r="D21" s="14" t="n"/>
      <c r="E21" s="14" t="n"/>
      <c r="F21" s="14" t="n"/>
      <c r="G21" s="14" t="n"/>
      <c r="H21" s="14" t="n"/>
      <c r="I21" s="7" t="n"/>
      <c r="J21" s="32">
        <f>MAX(J4:J18)</f>
        <v/>
      </c>
      <c r="K21" s="32">
        <f>MAX(K4:K18)</f>
        <v/>
      </c>
      <c r="L21" s="32">
        <f>MAX(L4:L18)</f>
        <v/>
      </c>
      <c r="M21" s="32">
        <f>MAX(M4:M18)</f>
        <v/>
      </c>
      <c r="N21" s="32">
        <f>MAX(N4:N18)</f>
        <v/>
      </c>
    </row>
    <row r="22">
      <c r="A22" s="10" t="inlineStr">
        <is>
          <t>MIN</t>
        </is>
      </c>
      <c r="B22" s="14" t="n"/>
      <c r="C22" s="14" t="n"/>
      <c r="D22" s="14" t="n"/>
      <c r="E22" s="14" t="n"/>
      <c r="F22" s="14" t="n"/>
      <c r="G22" s="14" t="n"/>
      <c r="H22" s="14" t="n"/>
      <c r="I22" s="7" t="n"/>
      <c r="J22" s="33">
        <f>MIN(J4:J18)</f>
        <v/>
      </c>
      <c r="K22" s="33">
        <f>MIN(K4:K18)</f>
        <v/>
      </c>
      <c r="L22" s="33">
        <f>MIN(L4:L18)</f>
        <v/>
      </c>
      <c r="M22" s="33">
        <f>MIN(M4:M18)</f>
        <v/>
      </c>
      <c r="N22" s="33">
        <f>MIN(N4:N18)</f>
        <v/>
      </c>
    </row>
    <row r="23">
      <c r="A23" s="10" t="inlineStr">
        <is>
          <t>RATA2</t>
        </is>
      </c>
      <c r="B23" s="14" t="n"/>
      <c r="C23" s="14" t="n"/>
      <c r="D23" s="14" t="n"/>
      <c r="E23" s="14" t="n"/>
      <c r="F23" s="14" t="n"/>
      <c r="G23" s="14" t="n"/>
      <c r="H23" s="14" t="n"/>
      <c r="I23" s="7" t="n"/>
      <c r="J23" s="34">
        <f>AVERAGE(J4:J18)</f>
        <v/>
      </c>
      <c r="K23" s="34">
        <f>AVERAGE(K4:K18)</f>
        <v/>
      </c>
      <c r="L23" s="34">
        <f>AVERAGE(L4:L18)</f>
        <v/>
      </c>
      <c r="M23" s="34">
        <f>AVERAGE(M4:M18)</f>
        <v/>
      </c>
      <c r="N23" s="34">
        <f>AVERAGE(N4:N18)</f>
        <v/>
      </c>
    </row>
    <row r="24">
      <c r="A24" s="10" t="inlineStr">
        <is>
          <t>RANGE (MAX−MIN)</t>
        </is>
      </c>
      <c r="B24" s="14" t="n"/>
      <c r="C24" s="14" t="n"/>
      <c r="D24" s="14" t="n"/>
      <c r="E24" s="14" t="n"/>
      <c r="F24" s="14" t="n"/>
      <c r="G24" s="14" t="n"/>
      <c r="H24" s="14" t="n"/>
      <c r="I24" s="7" t="n"/>
      <c r="J24" s="35">
        <f>J21-J22</f>
        <v/>
      </c>
      <c r="K24" s="35">
        <f>K21-K22</f>
        <v/>
      </c>
      <c r="L24" s="35">
        <f>L21-L22</f>
        <v/>
      </c>
      <c r="M24" s="35">
        <f>M21-M22</f>
        <v/>
      </c>
      <c r="N24" s="35">
        <f>N21-N22</f>
        <v/>
      </c>
    </row>
    <row r="25">
      <c r="A25" s="5" t="inlineStr">
        <is>
          <t>Cek range nol?</t>
        </is>
      </c>
      <c r="B25" s="14" t="n"/>
      <c r="C25" s="14" t="n"/>
      <c r="D25" s="14" t="n"/>
      <c r="E25" s="14" t="n"/>
      <c r="F25" s="14" t="n"/>
      <c r="G25" s="14" t="n"/>
      <c r="H25" s="14" t="n"/>
      <c r="I25" s="7" t="n"/>
      <c r="J25" s="5">
        <f>IF(J24=0,"MAX=MIN→u=1","OK")</f>
        <v/>
      </c>
      <c r="K25" s="5">
        <f>IF(K24=0,"MAX=MIN→u=1","OK")</f>
        <v/>
      </c>
      <c r="L25" s="5">
        <f>IF(L24=0,"MAX=MIN→u=1","OK")</f>
        <v/>
      </c>
      <c r="M25" s="5">
        <f>IF(M24=0,"MAX=MIN→u=1","OK")</f>
        <v/>
      </c>
      <c r="N25" s="5">
        <f>IF(N24=0,"MAX=MIN→u=1","OK")</f>
        <v/>
      </c>
    </row>
  </sheetData>
  <autoFilter ref="A3:N18"/>
  <mergeCells count="9">
    <mergeCell ref="A25:I25"/>
    <mergeCell ref="A19:I19"/>
    <mergeCell ref="A2:N2"/>
    <mergeCell ref="A23:I23"/>
    <mergeCell ref="A24:I24"/>
    <mergeCell ref="A22:I22"/>
    <mergeCell ref="A20:I20"/>
    <mergeCell ref="A21:I21"/>
    <mergeCell ref="A1:N1"/>
  </mergeCells>
  <conditionalFormatting sqref="J4:N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R3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  <col width="10" customWidth="1" min="11" max="11"/>
    <col width="10" customWidth="1" min="12" max="12"/>
    <col width="11" customWidth="1" min="13" max="13"/>
    <col width="14" customWidth="1" min="14" max="14"/>
    <col width="8" customWidth="1" min="15" max="15"/>
    <col width="10" customWidth="1" min="16" max="16"/>
    <col width="40" customWidth="1" min="17" max="17"/>
    <col width="11" customWidth="1" min="18" max="18"/>
  </cols>
  <sheetData>
    <row r="1" ht="28" customHeight="1">
      <c r="A1" s="1" t="inlineStr">
        <is>
          <t>04 — UTILITY + NILAI SMARTER + RANKING (semua rumus live)</t>
        </is>
      </c>
    </row>
    <row r="2" ht="30" customHeight="1">
      <c r="A2" s="2" t="inlineStr">
        <is>
          <t>Utility = IF(Tipe Benefit/Cost) + IFERROR  •  Nilai = SUMPRODUCT  •  Rank = RANK.EQ  •  Judul = VLOOKUP, Perusahaan = INDEX-MATCH</t>
        </is>
      </c>
    </row>
    <row r="3" ht="40" customHeight="1">
      <c r="A3" s="4" t="inlineStr">
        <is>
          <t>Kode</t>
        </is>
      </c>
      <c r="B3" s="4" t="inlineStr">
        <is>
          <t>Job ID</t>
        </is>
      </c>
      <c r="C3" s="4" t="inlineStr">
        <is>
          <t>Judul (VLOOKUP ⤵)</t>
        </is>
      </c>
      <c r="D3" s="4" t="inlineStr">
        <is>
          <t>Perusahaan (INDEX-MATCH ⤵)</t>
        </is>
      </c>
      <c r="E3" s="4" t="inlineStr">
        <is>
          <t>u_C1</t>
        </is>
      </c>
      <c r="F3" s="4" t="inlineStr">
        <is>
          <t>u_C2</t>
        </is>
      </c>
      <c r="G3" s="4" t="inlineStr">
        <is>
          <t>u_C3</t>
        </is>
      </c>
      <c r="H3" s="4" t="inlineStr">
        <is>
          <t>u_C4</t>
        </is>
      </c>
      <c r="I3" s="4" t="inlineStr">
        <is>
          <t>u_C5</t>
        </is>
      </c>
      <c r="J3" s="4" t="inlineStr">
        <is>
          <t>Nilai SMARTER</t>
        </is>
      </c>
      <c r="K3" s="4" t="inlineStr">
        <is>
          <t>Rank</t>
        </is>
      </c>
      <c r="L3" s="4" t="inlineStr">
        <is>
          <t>Rank Unik</t>
        </is>
      </c>
      <c r="M3" s="4" t="inlineStr">
        <is>
          <t>Rank Global</t>
        </is>
      </c>
      <c r="N3" s="4" t="inlineStr">
        <is>
          <t>Status</t>
        </is>
      </c>
      <c r="P3" s="36" t="inlineStr">
        <is>
          <t>Rank (bantu)</t>
        </is>
      </c>
      <c r="Q3" s="36" t="inlineStr">
        <is>
          <t>Judul (bantu)</t>
        </is>
      </c>
      <c r="R3" s="36" t="inlineStr">
        <is>
          <t>Nilai (bantu)</t>
        </is>
      </c>
    </row>
    <row r="4" ht="30" customHeight="1">
      <c r="A4" s="10">
        <f>'03_ALTERNATIF'!A4</f>
        <v/>
      </c>
      <c r="B4" s="10">
        <f>'03_ALTERNATIF'!B4</f>
        <v/>
      </c>
      <c r="C4" s="6">
        <f>VLOOKUP($B4,'03_ALTERNATIF'!$B$4:$C$18,2,FALSE)</f>
        <v/>
      </c>
      <c r="D4" s="6">
        <f>INDEX('03_ALTERNATIF'!$D$4:$D$18,MATCH($B4,'03_ALTERNATIF'!$B$4:$B$18,0))</f>
        <v/>
      </c>
      <c r="E4" s="35">
        <f>IFERROR(IF('03_ALTERNATIF'!$J$19="Benefit",('03_ALTERNATIF'!J4-'03_ALTERNATIF'!$J$22)/('03_ALTERNATIF'!$J$21-'03_ALTERNATIF'!$J$22),('03_ALTERNATIF'!$J$21-'03_ALTERNATIF'!J4)/('03_ALTERNATIF'!$J$21-'03_ALTERNATIF'!$J$22)),1)</f>
        <v/>
      </c>
      <c r="F4" s="35">
        <f>IFERROR(IF('03_ALTERNATIF'!$K$19="Benefit",('03_ALTERNATIF'!K4-'03_ALTERNATIF'!$K$22)/('03_ALTERNATIF'!$K$21-'03_ALTERNATIF'!$K$22),('03_ALTERNATIF'!$K$21-'03_ALTERNATIF'!K4)/('03_ALTERNATIF'!$K$21-'03_ALTERNATIF'!$K$22)),1)</f>
        <v/>
      </c>
      <c r="G4" s="35">
        <f>IFERROR(IF('03_ALTERNATIF'!$L$19="Benefit",('03_ALTERNATIF'!L4-'03_ALTERNATIF'!$L$22)/('03_ALTERNATIF'!$L$21-'03_ALTERNATIF'!$L$22),('03_ALTERNATIF'!$L$21-'03_ALTERNATIF'!L4)/('03_ALTERNATIF'!$L$21-'03_ALTERNATIF'!$L$22)),1)</f>
        <v/>
      </c>
      <c r="H4" s="35">
        <f>IFERROR(IF('03_ALTERNATIF'!$M$19="Benefit",('03_ALTERNATIF'!M4-'03_ALTERNATIF'!$M$22)/('03_ALTERNATIF'!$M$21-'03_ALTERNATIF'!$M$22),('03_ALTERNATIF'!$M$21-'03_ALTERNATIF'!M4)/('03_ALTERNATIF'!$M$21-'03_ALTERNATIF'!$M$22)),1)</f>
        <v/>
      </c>
      <c r="I4" s="35">
        <f>IFERROR(IF('03_ALTERNATIF'!$N$19="Benefit",('03_ALTERNATIF'!N4-'03_ALTERNATIF'!$N$22)/('03_ALTERNATIF'!$N$21-'03_ALTERNATIF'!$N$22),('03_ALTERNATIF'!$N$21-'03_ALTERNATIF'!N4)/('03_ALTERNATIF'!$N$21-'03_ALTERNATIF'!$N$22)),1)</f>
        <v/>
      </c>
      <c r="J4" s="37">
        <f>SUMPRODUCT($E4:$I4,'03_ALTERNATIF'!$J$20:$N$20)</f>
        <v/>
      </c>
      <c r="K4" s="10">
        <f>RANK.EQ($J4,$J$4:$J$18,0)</f>
        <v/>
      </c>
      <c r="L4" s="5">
        <f>K4+COUNTIF($J$4:$J4,$J4)-1</f>
        <v/>
      </c>
      <c r="M4" s="5">
        <f>VLOOKUP($B4,'05_ARSIP_221'!$A$4:$N$224,14,FALSE)</f>
        <v/>
      </c>
      <c r="N4" s="6">
        <f>IF($K4&lt;=3,"★ Rekomendasi",IF($K4&lt;=5,"○ Cadangan","—"))</f>
        <v/>
      </c>
      <c r="P4" s="5">
        <f>K4</f>
        <v/>
      </c>
      <c r="Q4" s="6">
        <f>C4</f>
        <v/>
      </c>
      <c r="R4" s="38">
        <f>J4</f>
        <v/>
      </c>
    </row>
    <row r="5" ht="30" customHeight="1">
      <c r="A5" s="10">
        <f>'03_ALTERNATIF'!A5</f>
        <v/>
      </c>
      <c r="B5" s="10">
        <f>'03_ALTERNATIF'!B5</f>
        <v/>
      </c>
      <c r="C5" s="6">
        <f>VLOOKUP($B5,'03_ALTERNATIF'!$B$4:$C$18,2,FALSE)</f>
        <v/>
      </c>
      <c r="D5" s="6">
        <f>INDEX('03_ALTERNATIF'!$D$4:$D$18,MATCH($B5,'03_ALTERNATIF'!$B$4:$B$18,0))</f>
        <v/>
      </c>
      <c r="E5" s="35">
        <f>IFERROR(IF('03_ALTERNATIF'!$J$19="Benefit",('03_ALTERNATIF'!J5-'03_ALTERNATIF'!$J$22)/('03_ALTERNATIF'!$J$21-'03_ALTERNATIF'!$J$22),('03_ALTERNATIF'!$J$21-'03_ALTERNATIF'!J5)/('03_ALTERNATIF'!$J$21-'03_ALTERNATIF'!$J$22)),1)</f>
        <v/>
      </c>
      <c r="F5" s="35">
        <f>IFERROR(IF('03_ALTERNATIF'!$K$19="Benefit",('03_ALTERNATIF'!K5-'03_ALTERNATIF'!$K$22)/('03_ALTERNATIF'!$K$21-'03_ALTERNATIF'!$K$22),('03_ALTERNATIF'!$K$21-'03_ALTERNATIF'!K5)/('03_ALTERNATIF'!$K$21-'03_ALTERNATIF'!$K$22)),1)</f>
        <v/>
      </c>
      <c r="G5" s="35">
        <f>IFERROR(IF('03_ALTERNATIF'!$L$19="Benefit",('03_ALTERNATIF'!L5-'03_ALTERNATIF'!$L$22)/('03_ALTERNATIF'!$L$21-'03_ALTERNATIF'!$L$22),('03_ALTERNATIF'!$L$21-'03_ALTERNATIF'!L5)/('03_ALTERNATIF'!$L$21-'03_ALTERNATIF'!$L$22)),1)</f>
        <v/>
      </c>
      <c r="H5" s="35">
        <f>IFERROR(IF('03_ALTERNATIF'!$M$19="Benefit",('03_ALTERNATIF'!M5-'03_ALTERNATIF'!$M$22)/('03_ALTERNATIF'!$M$21-'03_ALTERNATIF'!$M$22),('03_ALTERNATIF'!$M$21-'03_ALTERNATIF'!M5)/('03_ALTERNATIF'!$M$21-'03_ALTERNATIF'!$M$22)),1)</f>
        <v/>
      </c>
      <c r="I5" s="35">
        <f>IFERROR(IF('03_ALTERNATIF'!$N$19="Benefit",('03_ALTERNATIF'!N5-'03_ALTERNATIF'!$N$22)/('03_ALTERNATIF'!$N$21-'03_ALTERNATIF'!$N$22),('03_ALTERNATIF'!$N$21-'03_ALTERNATIF'!N5)/('03_ALTERNATIF'!$N$21-'03_ALTERNATIF'!$N$22)),1)</f>
        <v/>
      </c>
      <c r="J5" s="37">
        <f>SUMPRODUCT($E5:$I5,'03_ALTERNATIF'!$J$20:$N$20)</f>
        <v/>
      </c>
      <c r="K5" s="10">
        <f>RANK.EQ($J5,$J$4:$J$18,0)</f>
        <v/>
      </c>
      <c r="L5" s="5">
        <f>K5+COUNTIF($J$4:$J5,$J5)-1</f>
        <v/>
      </c>
      <c r="M5" s="5">
        <f>VLOOKUP($B5,'05_ARSIP_221'!$A$4:$N$224,14,FALSE)</f>
        <v/>
      </c>
      <c r="N5" s="6">
        <f>IF($K5&lt;=3,"★ Rekomendasi",IF($K5&lt;=5,"○ Cadangan","—"))</f>
        <v/>
      </c>
      <c r="P5" s="5">
        <f>K5</f>
        <v/>
      </c>
      <c r="Q5" s="6">
        <f>C5</f>
        <v/>
      </c>
      <c r="R5" s="38">
        <f>J5</f>
        <v/>
      </c>
    </row>
    <row r="6" ht="30" customHeight="1">
      <c r="A6" s="10">
        <f>'03_ALTERNATIF'!A6</f>
        <v/>
      </c>
      <c r="B6" s="10">
        <f>'03_ALTERNATIF'!B6</f>
        <v/>
      </c>
      <c r="C6" s="6">
        <f>VLOOKUP($B6,'03_ALTERNATIF'!$B$4:$C$18,2,FALSE)</f>
        <v/>
      </c>
      <c r="D6" s="6">
        <f>INDEX('03_ALTERNATIF'!$D$4:$D$18,MATCH($B6,'03_ALTERNATIF'!$B$4:$B$18,0))</f>
        <v/>
      </c>
      <c r="E6" s="35">
        <f>IFERROR(IF('03_ALTERNATIF'!$J$19="Benefit",('03_ALTERNATIF'!J6-'03_ALTERNATIF'!$J$22)/('03_ALTERNATIF'!$J$21-'03_ALTERNATIF'!$J$22),('03_ALTERNATIF'!$J$21-'03_ALTERNATIF'!J6)/('03_ALTERNATIF'!$J$21-'03_ALTERNATIF'!$J$22)),1)</f>
        <v/>
      </c>
      <c r="F6" s="35">
        <f>IFERROR(IF('03_ALTERNATIF'!$K$19="Benefit",('03_ALTERNATIF'!K6-'03_ALTERNATIF'!$K$22)/('03_ALTERNATIF'!$K$21-'03_ALTERNATIF'!$K$22),('03_ALTERNATIF'!$K$21-'03_ALTERNATIF'!K6)/('03_ALTERNATIF'!$K$21-'03_ALTERNATIF'!$K$22)),1)</f>
        <v/>
      </c>
      <c r="G6" s="35">
        <f>IFERROR(IF('03_ALTERNATIF'!$L$19="Benefit",('03_ALTERNATIF'!L6-'03_ALTERNATIF'!$L$22)/('03_ALTERNATIF'!$L$21-'03_ALTERNATIF'!$L$22),('03_ALTERNATIF'!$L$21-'03_ALTERNATIF'!L6)/('03_ALTERNATIF'!$L$21-'03_ALTERNATIF'!$L$22)),1)</f>
        <v/>
      </c>
      <c r="H6" s="35">
        <f>IFERROR(IF('03_ALTERNATIF'!$M$19="Benefit",('03_ALTERNATIF'!M6-'03_ALTERNATIF'!$M$22)/('03_ALTERNATIF'!$M$21-'03_ALTERNATIF'!$M$22),('03_ALTERNATIF'!$M$21-'03_ALTERNATIF'!M6)/('03_ALTERNATIF'!$M$21-'03_ALTERNATIF'!$M$22)),1)</f>
        <v/>
      </c>
      <c r="I6" s="35">
        <f>IFERROR(IF('03_ALTERNATIF'!$N$19="Benefit",('03_ALTERNATIF'!N6-'03_ALTERNATIF'!$N$22)/('03_ALTERNATIF'!$N$21-'03_ALTERNATIF'!$N$22),('03_ALTERNATIF'!$N$21-'03_ALTERNATIF'!N6)/('03_ALTERNATIF'!$N$21-'03_ALTERNATIF'!$N$22)),1)</f>
        <v/>
      </c>
      <c r="J6" s="37">
        <f>SUMPRODUCT($E6:$I6,'03_ALTERNATIF'!$J$20:$N$20)</f>
        <v/>
      </c>
      <c r="K6" s="10">
        <f>RANK.EQ($J6,$J$4:$J$18,0)</f>
        <v/>
      </c>
      <c r="L6" s="5">
        <f>K6+COUNTIF($J$4:$J6,$J6)-1</f>
        <v/>
      </c>
      <c r="M6" s="5">
        <f>VLOOKUP($B6,'05_ARSIP_221'!$A$4:$N$224,14,FALSE)</f>
        <v/>
      </c>
      <c r="N6" s="6">
        <f>IF($K6&lt;=3,"★ Rekomendasi",IF($K6&lt;=5,"○ Cadangan","—"))</f>
        <v/>
      </c>
      <c r="P6" s="5">
        <f>K6</f>
        <v/>
      </c>
      <c r="Q6" s="6">
        <f>C6</f>
        <v/>
      </c>
      <c r="R6" s="38">
        <f>J6</f>
        <v/>
      </c>
    </row>
    <row r="7" ht="30" customHeight="1">
      <c r="A7" s="10">
        <f>'03_ALTERNATIF'!A7</f>
        <v/>
      </c>
      <c r="B7" s="10">
        <f>'03_ALTERNATIF'!B7</f>
        <v/>
      </c>
      <c r="C7" s="6">
        <f>VLOOKUP($B7,'03_ALTERNATIF'!$B$4:$C$18,2,FALSE)</f>
        <v/>
      </c>
      <c r="D7" s="6">
        <f>INDEX('03_ALTERNATIF'!$D$4:$D$18,MATCH($B7,'03_ALTERNATIF'!$B$4:$B$18,0))</f>
        <v/>
      </c>
      <c r="E7" s="35">
        <f>IFERROR(IF('03_ALTERNATIF'!$J$19="Benefit",('03_ALTERNATIF'!J7-'03_ALTERNATIF'!$J$22)/('03_ALTERNATIF'!$J$21-'03_ALTERNATIF'!$J$22),('03_ALTERNATIF'!$J$21-'03_ALTERNATIF'!J7)/('03_ALTERNATIF'!$J$21-'03_ALTERNATIF'!$J$22)),1)</f>
        <v/>
      </c>
      <c r="F7" s="35">
        <f>IFERROR(IF('03_ALTERNATIF'!$K$19="Benefit",('03_ALTERNATIF'!K7-'03_ALTERNATIF'!$K$22)/('03_ALTERNATIF'!$K$21-'03_ALTERNATIF'!$K$22),('03_ALTERNATIF'!$K$21-'03_ALTERNATIF'!K7)/('03_ALTERNATIF'!$K$21-'03_ALTERNATIF'!$K$22)),1)</f>
        <v/>
      </c>
      <c r="G7" s="35">
        <f>IFERROR(IF('03_ALTERNATIF'!$L$19="Benefit",('03_ALTERNATIF'!L7-'03_ALTERNATIF'!$L$22)/('03_ALTERNATIF'!$L$21-'03_ALTERNATIF'!$L$22),('03_ALTERNATIF'!$L$21-'03_ALTERNATIF'!L7)/('03_ALTERNATIF'!$L$21-'03_ALTERNATIF'!$L$22)),1)</f>
        <v/>
      </c>
      <c r="H7" s="35">
        <f>IFERROR(IF('03_ALTERNATIF'!$M$19="Benefit",('03_ALTERNATIF'!M7-'03_ALTERNATIF'!$M$22)/('03_ALTERNATIF'!$M$21-'03_ALTERNATIF'!$M$22),('03_ALTERNATIF'!$M$21-'03_ALTERNATIF'!M7)/('03_ALTERNATIF'!$M$21-'03_ALTERNATIF'!$M$22)),1)</f>
        <v/>
      </c>
      <c r="I7" s="35">
        <f>IFERROR(IF('03_ALTERNATIF'!$N$19="Benefit",('03_ALTERNATIF'!N7-'03_ALTERNATIF'!$N$22)/('03_ALTERNATIF'!$N$21-'03_ALTERNATIF'!$N$22),('03_ALTERNATIF'!$N$21-'03_ALTERNATIF'!N7)/('03_ALTERNATIF'!$N$21-'03_ALTERNATIF'!$N$22)),1)</f>
        <v/>
      </c>
      <c r="J7" s="37">
        <f>SUMPRODUCT($E7:$I7,'03_ALTERNATIF'!$J$20:$N$20)</f>
        <v/>
      </c>
      <c r="K7" s="10">
        <f>RANK.EQ($J7,$J$4:$J$18,0)</f>
        <v/>
      </c>
      <c r="L7" s="5">
        <f>K7+COUNTIF($J$4:$J7,$J7)-1</f>
        <v/>
      </c>
      <c r="M7" s="5">
        <f>VLOOKUP($B7,'05_ARSIP_221'!$A$4:$N$224,14,FALSE)</f>
        <v/>
      </c>
      <c r="N7" s="6">
        <f>IF($K7&lt;=3,"★ Rekomendasi",IF($K7&lt;=5,"○ Cadangan","—"))</f>
        <v/>
      </c>
      <c r="P7" s="5">
        <f>K7</f>
        <v/>
      </c>
      <c r="Q7" s="6">
        <f>C7</f>
        <v/>
      </c>
      <c r="R7" s="38">
        <f>J7</f>
        <v/>
      </c>
    </row>
    <row r="8" ht="30" customHeight="1">
      <c r="A8" s="10">
        <f>'03_ALTERNATIF'!A8</f>
        <v/>
      </c>
      <c r="B8" s="10">
        <f>'03_ALTERNATIF'!B8</f>
        <v/>
      </c>
      <c r="C8" s="6">
        <f>VLOOKUP($B8,'03_ALTERNATIF'!$B$4:$C$18,2,FALSE)</f>
        <v/>
      </c>
      <c r="D8" s="6">
        <f>INDEX('03_ALTERNATIF'!$D$4:$D$18,MATCH($B8,'03_ALTERNATIF'!$B$4:$B$18,0))</f>
        <v/>
      </c>
      <c r="E8" s="35">
        <f>IFERROR(IF('03_ALTERNATIF'!$J$19="Benefit",('03_ALTERNATIF'!J8-'03_ALTERNATIF'!$J$22)/('03_ALTERNATIF'!$J$21-'03_ALTERNATIF'!$J$22),('03_ALTERNATIF'!$J$21-'03_ALTERNATIF'!J8)/('03_ALTERNATIF'!$J$21-'03_ALTERNATIF'!$J$22)),1)</f>
        <v/>
      </c>
      <c r="F8" s="35">
        <f>IFERROR(IF('03_ALTERNATIF'!$K$19="Benefit",('03_ALTERNATIF'!K8-'03_ALTERNATIF'!$K$22)/('03_ALTERNATIF'!$K$21-'03_ALTERNATIF'!$K$22),('03_ALTERNATIF'!$K$21-'03_ALTERNATIF'!K8)/('03_ALTERNATIF'!$K$21-'03_ALTERNATIF'!$K$22)),1)</f>
        <v/>
      </c>
      <c r="G8" s="35">
        <f>IFERROR(IF('03_ALTERNATIF'!$L$19="Benefit",('03_ALTERNATIF'!L8-'03_ALTERNATIF'!$L$22)/('03_ALTERNATIF'!$L$21-'03_ALTERNATIF'!$L$22),('03_ALTERNATIF'!$L$21-'03_ALTERNATIF'!L8)/('03_ALTERNATIF'!$L$21-'03_ALTERNATIF'!$L$22)),1)</f>
        <v/>
      </c>
      <c r="H8" s="35">
        <f>IFERROR(IF('03_ALTERNATIF'!$M$19="Benefit",('03_ALTERNATIF'!M8-'03_ALTERNATIF'!$M$22)/('03_ALTERNATIF'!$M$21-'03_ALTERNATIF'!$M$22),('03_ALTERNATIF'!$M$21-'03_ALTERNATIF'!M8)/('03_ALTERNATIF'!$M$21-'03_ALTERNATIF'!$M$22)),1)</f>
        <v/>
      </c>
      <c r="I8" s="35">
        <f>IFERROR(IF('03_ALTERNATIF'!$N$19="Benefit",('03_ALTERNATIF'!N8-'03_ALTERNATIF'!$N$22)/('03_ALTERNATIF'!$N$21-'03_ALTERNATIF'!$N$22),('03_ALTERNATIF'!$N$21-'03_ALTERNATIF'!N8)/('03_ALTERNATIF'!$N$21-'03_ALTERNATIF'!$N$22)),1)</f>
        <v/>
      </c>
      <c r="J8" s="37">
        <f>SUMPRODUCT($E8:$I8,'03_ALTERNATIF'!$J$20:$N$20)</f>
        <v/>
      </c>
      <c r="K8" s="10">
        <f>RANK.EQ($J8,$J$4:$J$18,0)</f>
        <v/>
      </c>
      <c r="L8" s="5">
        <f>K8+COUNTIF($J$4:$J8,$J8)-1</f>
        <v/>
      </c>
      <c r="M8" s="5">
        <f>VLOOKUP($B8,'05_ARSIP_221'!$A$4:$N$224,14,FALSE)</f>
        <v/>
      </c>
      <c r="N8" s="6">
        <f>IF($K8&lt;=3,"★ Rekomendasi",IF($K8&lt;=5,"○ Cadangan","—"))</f>
        <v/>
      </c>
      <c r="P8" s="5">
        <f>K8</f>
        <v/>
      </c>
      <c r="Q8" s="6">
        <f>C8</f>
        <v/>
      </c>
      <c r="R8" s="38">
        <f>J8</f>
        <v/>
      </c>
    </row>
    <row r="9" ht="30" customHeight="1">
      <c r="A9" s="10">
        <f>'03_ALTERNATIF'!A9</f>
        <v/>
      </c>
      <c r="B9" s="10">
        <f>'03_ALTERNATIF'!B9</f>
        <v/>
      </c>
      <c r="C9" s="6">
        <f>VLOOKUP($B9,'03_ALTERNATIF'!$B$4:$C$18,2,FALSE)</f>
        <v/>
      </c>
      <c r="D9" s="6">
        <f>INDEX('03_ALTERNATIF'!$D$4:$D$18,MATCH($B9,'03_ALTERNATIF'!$B$4:$B$18,0))</f>
        <v/>
      </c>
      <c r="E9" s="35">
        <f>IFERROR(IF('03_ALTERNATIF'!$J$19="Benefit",('03_ALTERNATIF'!J9-'03_ALTERNATIF'!$J$22)/('03_ALTERNATIF'!$J$21-'03_ALTERNATIF'!$J$22),('03_ALTERNATIF'!$J$21-'03_ALTERNATIF'!J9)/('03_ALTERNATIF'!$J$21-'03_ALTERNATIF'!$J$22)),1)</f>
        <v/>
      </c>
      <c r="F9" s="35">
        <f>IFERROR(IF('03_ALTERNATIF'!$K$19="Benefit",('03_ALTERNATIF'!K9-'03_ALTERNATIF'!$K$22)/('03_ALTERNATIF'!$K$21-'03_ALTERNATIF'!$K$22),('03_ALTERNATIF'!$K$21-'03_ALTERNATIF'!K9)/('03_ALTERNATIF'!$K$21-'03_ALTERNATIF'!$K$22)),1)</f>
        <v/>
      </c>
      <c r="G9" s="35">
        <f>IFERROR(IF('03_ALTERNATIF'!$L$19="Benefit",('03_ALTERNATIF'!L9-'03_ALTERNATIF'!$L$22)/('03_ALTERNATIF'!$L$21-'03_ALTERNATIF'!$L$22),('03_ALTERNATIF'!$L$21-'03_ALTERNATIF'!L9)/('03_ALTERNATIF'!$L$21-'03_ALTERNATIF'!$L$22)),1)</f>
        <v/>
      </c>
      <c r="H9" s="35">
        <f>IFERROR(IF('03_ALTERNATIF'!$M$19="Benefit",('03_ALTERNATIF'!M9-'03_ALTERNATIF'!$M$22)/('03_ALTERNATIF'!$M$21-'03_ALTERNATIF'!$M$22),('03_ALTERNATIF'!$M$21-'03_ALTERNATIF'!M9)/('03_ALTERNATIF'!$M$21-'03_ALTERNATIF'!$M$22)),1)</f>
        <v/>
      </c>
      <c r="I9" s="35">
        <f>IFERROR(IF('03_ALTERNATIF'!$N$19="Benefit",('03_ALTERNATIF'!N9-'03_ALTERNATIF'!$N$22)/('03_ALTERNATIF'!$N$21-'03_ALTERNATIF'!$N$22),('03_ALTERNATIF'!$N$21-'03_ALTERNATIF'!N9)/('03_ALTERNATIF'!$N$21-'03_ALTERNATIF'!$N$22)),1)</f>
        <v/>
      </c>
      <c r="J9" s="37">
        <f>SUMPRODUCT($E9:$I9,'03_ALTERNATIF'!$J$20:$N$20)</f>
        <v/>
      </c>
      <c r="K9" s="10">
        <f>RANK.EQ($J9,$J$4:$J$18,0)</f>
        <v/>
      </c>
      <c r="L9" s="5">
        <f>K9+COUNTIF($J$4:$J9,$J9)-1</f>
        <v/>
      </c>
      <c r="M9" s="5">
        <f>VLOOKUP($B9,'05_ARSIP_221'!$A$4:$N$224,14,FALSE)</f>
        <v/>
      </c>
      <c r="N9" s="6">
        <f>IF($K9&lt;=3,"★ Rekomendasi",IF($K9&lt;=5,"○ Cadangan","—"))</f>
        <v/>
      </c>
      <c r="P9" s="5">
        <f>K9</f>
        <v/>
      </c>
      <c r="Q9" s="6">
        <f>C9</f>
        <v/>
      </c>
      <c r="R9" s="38">
        <f>J9</f>
        <v/>
      </c>
    </row>
    <row r="10" ht="30" customHeight="1">
      <c r="A10" s="10">
        <f>'03_ALTERNATIF'!A10</f>
        <v/>
      </c>
      <c r="B10" s="10">
        <f>'03_ALTERNATIF'!B10</f>
        <v/>
      </c>
      <c r="C10" s="6">
        <f>VLOOKUP($B10,'03_ALTERNATIF'!$B$4:$C$18,2,FALSE)</f>
        <v/>
      </c>
      <c r="D10" s="6">
        <f>INDEX('03_ALTERNATIF'!$D$4:$D$18,MATCH($B10,'03_ALTERNATIF'!$B$4:$B$18,0))</f>
        <v/>
      </c>
      <c r="E10" s="35">
        <f>IFERROR(IF('03_ALTERNATIF'!$J$19="Benefit",('03_ALTERNATIF'!J10-'03_ALTERNATIF'!$J$22)/('03_ALTERNATIF'!$J$21-'03_ALTERNATIF'!$J$22),('03_ALTERNATIF'!$J$21-'03_ALTERNATIF'!J10)/('03_ALTERNATIF'!$J$21-'03_ALTERNATIF'!$J$22)),1)</f>
        <v/>
      </c>
      <c r="F10" s="35">
        <f>IFERROR(IF('03_ALTERNATIF'!$K$19="Benefit",('03_ALTERNATIF'!K10-'03_ALTERNATIF'!$K$22)/('03_ALTERNATIF'!$K$21-'03_ALTERNATIF'!$K$22),('03_ALTERNATIF'!$K$21-'03_ALTERNATIF'!K10)/('03_ALTERNATIF'!$K$21-'03_ALTERNATIF'!$K$22)),1)</f>
        <v/>
      </c>
      <c r="G10" s="35">
        <f>IFERROR(IF('03_ALTERNATIF'!$L$19="Benefit",('03_ALTERNATIF'!L10-'03_ALTERNATIF'!$L$22)/('03_ALTERNATIF'!$L$21-'03_ALTERNATIF'!$L$22),('03_ALTERNATIF'!$L$21-'03_ALTERNATIF'!L10)/('03_ALTERNATIF'!$L$21-'03_ALTERNATIF'!$L$22)),1)</f>
        <v/>
      </c>
      <c r="H10" s="35">
        <f>IFERROR(IF('03_ALTERNATIF'!$M$19="Benefit",('03_ALTERNATIF'!M10-'03_ALTERNATIF'!$M$22)/('03_ALTERNATIF'!$M$21-'03_ALTERNATIF'!$M$22),('03_ALTERNATIF'!$M$21-'03_ALTERNATIF'!M10)/('03_ALTERNATIF'!$M$21-'03_ALTERNATIF'!$M$22)),1)</f>
        <v/>
      </c>
      <c r="I10" s="35">
        <f>IFERROR(IF('03_ALTERNATIF'!$N$19="Benefit",('03_ALTERNATIF'!N10-'03_ALTERNATIF'!$N$22)/('03_ALTERNATIF'!$N$21-'03_ALTERNATIF'!$N$22),('03_ALTERNATIF'!$N$21-'03_ALTERNATIF'!N10)/('03_ALTERNATIF'!$N$21-'03_ALTERNATIF'!$N$22)),1)</f>
        <v/>
      </c>
      <c r="J10" s="37">
        <f>SUMPRODUCT($E10:$I10,'03_ALTERNATIF'!$J$20:$N$20)</f>
        <v/>
      </c>
      <c r="K10" s="10">
        <f>RANK.EQ($J10,$J$4:$J$18,0)</f>
        <v/>
      </c>
      <c r="L10" s="5">
        <f>K10+COUNTIF($J$4:$J10,$J10)-1</f>
        <v/>
      </c>
      <c r="M10" s="5">
        <f>VLOOKUP($B10,'05_ARSIP_221'!$A$4:$N$224,14,FALSE)</f>
        <v/>
      </c>
      <c r="N10" s="6">
        <f>IF($K10&lt;=3,"★ Rekomendasi",IF($K10&lt;=5,"○ Cadangan","—"))</f>
        <v/>
      </c>
      <c r="P10" s="5">
        <f>K10</f>
        <v/>
      </c>
      <c r="Q10" s="6">
        <f>C10</f>
        <v/>
      </c>
      <c r="R10" s="38">
        <f>J10</f>
        <v/>
      </c>
    </row>
    <row r="11" ht="30" customHeight="1">
      <c r="A11" s="10">
        <f>'03_ALTERNATIF'!A11</f>
        <v/>
      </c>
      <c r="B11" s="10">
        <f>'03_ALTERNATIF'!B11</f>
        <v/>
      </c>
      <c r="C11" s="6">
        <f>VLOOKUP($B11,'03_ALTERNATIF'!$B$4:$C$18,2,FALSE)</f>
        <v/>
      </c>
      <c r="D11" s="6">
        <f>INDEX('03_ALTERNATIF'!$D$4:$D$18,MATCH($B11,'03_ALTERNATIF'!$B$4:$B$18,0))</f>
        <v/>
      </c>
      <c r="E11" s="35">
        <f>IFERROR(IF('03_ALTERNATIF'!$J$19="Benefit",('03_ALTERNATIF'!J11-'03_ALTERNATIF'!$J$22)/('03_ALTERNATIF'!$J$21-'03_ALTERNATIF'!$J$22),('03_ALTERNATIF'!$J$21-'03_ALTERNATIF'!J11)/('03_ALTERNATIF'!$J$21-'03_ALTERNATIF'!$J$22)),1)</f>
        <v/>
      </c>
      <c r="F11" s="35">
        <f>IFERROR(IF('03_ALTERNATIF'!$K$19="Benefit",('03_ALTERNATIF'!K11-'03_ALTERNATIF'!$K$22)/('03_ALTERNATIF'!$K$21-'03_ALTERNATIF'!$K$22),('03_ALTERNATIF'!$K$21-'03_ALTERNATIF'!K11)/('03_ALTERNATIF'!$K$21-'03_ALTERNATIF'!$K$22)),1)</f>
        <v/>
      </c>
      <c r="G11" s="35">
        <f>IFERROR(IF('03_ALTERNATIF'!$L$19="Benefit",('03_ALTERNATIF'!L11-'03_ALTERNATIF'!$L$22)/('03_ALTERNATIF'!$L$21-'03_ALTERNATIF'!$L$22),('03_ALTERNATIF'!$L$21-'03_ALTERNATIF'!L11)/('03_ALTERNATIF'!$L$21-'03_ALTERNATIF'!$L$22)),1)</f>
        <v/>
      </c>
      <c r="H11" s="35">
        <f>IFERROR(IF('03_ALTERNATIF'!$M$19="Benefit",('03_ALTERNATIF'!M11-'03_ALTERNATIF'!$M$22)/('03_ALTERNATIF'!$M$21-'03_ALTERNATIF'!$M$22),('03_ALTERNATIF'!$M$21-'03_ALTERNATIF'!M11)/('03_ALTERNATIF'!$M$21-'03_ALTERNATIF'!$M$22)),1)</f>
        <v/>
      </c>
      <c r="I11" s="35">
        <f>IFERROR(IF('03_ALTERNATIF'!$N$19="Benefit",('03_ALTERNATIF'!N11-'03_ALTERNATIF'!$N$22)/('03_ALTERNATIF'!$N$21-'03_ALTERNATIF'!$N$22),('03_ALTERNATIF'!$N$21-'03_ALTERNATIF'!N11)/('03_ALTERNATIF'!$N$21-'03_ALTERNATIF'!$N$22)),1)</f>
        <v/>
      </c>
      <c r="J11" s="37">
        <f>SUMPRODUCT($E11:$I11,'03_ALTERNATIF'!$J$20:$N$20)</f>
        <v/>
      </c>
      <c r="K11" s="10">
        <f>RANK.EQ($J11,$J$4:$J$18,0)</f>
        <v/>
      </c>
      <c r="L11" s="5">
        <f>K11+COUNTIF($J$4:$J11,$J11)-1</f>
        <v/>
      </c>
      <c r="M11" s="5">
        <f>VLOOKUP($B11,'05_ARSIP_221'!$A$4:$N$224,14,FALSE)</f>
        <v/>
      </c>
      <c r="N11" s="6">
        <f>IF($K11&lt;=3,"★ Rekomendasi",IF($K11&lt;=5,"○ Cadangan","—"))</f>
        <v/>
      </c>
      <c r="P11" s="5">
        <f>K11</f>
        <v/>
      </c>
      <c r="Q11" s="6">
        <f>C11</f>
        <v/>
      </c>
      <c r="R11" s="38">
        <f>J11</f>
        <v/>
      </c>
    </row>
    <row r="12" ht="30" customHeight="1">
      <c r="A12" s="10">
        <f>'03_ALTERNATIF'!A12</f>
        <v/>
      </c>
      <c r="B12" s="10">
        <f>'03_ALTERNATIF'!B12</f>
        <v/>
      </c>
      <c r="C12" s="6">
        <f>VLOOKUP($B12,'03_ALTERNATIF'!$B$4:$C$18,2,FALSE)</f>
        <v/>
      </c>
      <c r="D12" s="6">
        <f>INDEX('03_ALTERNATIF'!$D$4:$D$18,MATCH($B12,'03_ALTERNATIF'!$B$4:$B$18,0))</f>
        <v/>
      </c>
      <c r="E12" s="35">
        <f>IFERROR(IF('03_ALTERNATIF'!$J$19="Benefit",('03_ALTERNATIF'!J12-'03_ALTERNATIF'!$J$22)/('03_ALTERNATIF'!$J$21-'03_ALTERNATIF'!$J$22),('03_ALTERNATIF'!$J$21-'03_ALTERNATIF'!J12)/('03_ALTERNATIF'!$J$21-'03_ALTERNATIF'!$J$22)),1)</f>
        <v/>
      </c>
      <c r="F12" s="35">
        <f>IFERROR(IF('03_ALTERNATIF'!$K$19="Benefit",('03_ALTERNATIF'!K12-'03_ALTERNATIF'!$K$22)/('03_ALTERNATIF'!$K$21-'03_ALTERNATIF'!$K$22),('03_ALTERNATIF'!$K$21-'03_ALTERNATIF'!K12)/('03_ALTERNATIF'!$K$21-'03_ALTERNATIF'!$K$22)),1)</f>
        <v/>
      </c>
      <c r="G12" s="35">
        <f>IFERROR(IF('03_ALTERNATIF'!$L$19="Benefit",('03_ALTERNATIF'!L12-'03_ALTERNATIF'!$L$22)/('03_ALTERNATIF'!$L$21-'03_ALTERNATIF'!$L$22),('03_ALTERNATIF'!$L$21-'03_ALTERNATIF'!L12)/('03_ALTERNATIF'!$L$21-'03_ALTERNATIF'!$L$22)),1)</f>
        <v/>
      </c>
      <c r="H12" s="35">
        <f>IFERROR(IF('03_ALTERNATIF'!$M$19="Benefit",('03_ALTERNATIF'!M12-'03_ALTERNATIF'!$M$22)/('03_ALTERNATIF'!$M$21-'03_ALTERNATIF'!$M$22),('03_ALTERNATIF'!$M$21-'03_ALTERNATIF'!M12)/('03_ALTERNATIF'!$M$21-'03_ALTERNATIF'!$M$22)),1)</f>
        <v/>
      </c>
      <c r="I12" s="35">
        <f>IFERROR(IF('03_ALTERNATIF'!$N$19="Benefit",('03_ALTERNATIF'!N12-'03_ALTERNATIF'!$N$22)/('03_ALTERNATIF'!$N$21-'03_ALTERNATIF'!$N$22),('03_ALTERNATIF'!$N$21-'03_ALTERNATIF'!N12)/('03_ALTERNATIF'!$N$21-'03_ALTERNATIF'!$N$22)),1)</f>
        <v/>
      </c>
      <c r="J12" s="37">
        <f>SUMPRODUCT($E12:$I12,'03_ALTERNATIF'!$J$20:$N$20)</f>
        <v/>
      </c>
      <c r="K12" s="10">
        <f>RANK.EQ($J12,$J$4:$J$18,0)</f>
        <v/>
      </c>
      <c r="L12" s="5">
        <f>K12+COUNTIF($J$4:$J12,$J12)-1</f>
        <v/>
      </c>
      <c r="M12" s="5">
        <f>VLOOKUP($B12,'05_ARSIP_221'!$A$4:$N$224,14,FALSE)</f>
        <v/>
      </c>
      <c r="N12" s="6">
        <f>IF($K12&lt;=3,"★ Rekomendasi",IF($K12&lt;=5,"○ Cadangan","—"))</f>
        <v/>
      </c>
      <c r="P12" s="5">
        <f>K12</f>
        <v/>
      </c>
      <c r="Q12" s="6">
        <f>C12</f>
        <v/>
      </c>
      <c r="R12" s="38">
        <f>J12</f>
        <v/>
      </c>
    </row>
    <row r="13" ht="30" customHeight="1">
      <c r="A13" s="10">
        <f>'03_ALTERNATIF'!A13</f>
        <v/>
      </c>
      <c r="B13" s="10">
        <f>'03_ALTERNATIF'!B13</f>
        <v/>
      </c>
      <c r="C13" s="6">
        <f>VLOOKUP($B13,'03_ALTERNATIF'!$B$4:$C$18,2,FALSE)</f>
        <v/>
      </c>
      <c r="D13" s="6">
        <f>INDEX('03_ALTERNATIF'!$D$4:$D$18,MATCH($B13,'03_ALTERNATIF'!$B$4:$B$18,0))</f>
        <v/>
      </c>
      <c r="E13" s="35">
        <f>IFERROR(IF('03_ALTERNATIF'!$J$19="Benefit",('03_ALTERNATIF'!J13-'03_ALTERNATIF'!$J$22)/('03_ALTERNATIF'!$J$21-'03_ALTERNATIF'!$J$22),('03_ALTERNATIF'!$J$21-'03_ALTERNATIF'!J13)/('03_ALTERNATIF'!$J$21-'03_ALTERNATIF'!$J$22)),1)</f>
        <v/>
      </c>
      <c r="F13" s="35">
        <f>IFERROR(IF('03_ALTERNATIF'!$K$19="Benefit",('03_ALTERNATIF'!K13-'03_ALTERNATIF'!$K$22)/('03_ALTERNATIF'!$K$21-'03_ALTERNATIF'!$K$22),('03_ALTERNATIF'!$K$21-'03_ALTERNATIF'!K13)/('03_ALTERNATIF'!$K$21-'03_ALTERNATIF'!$K$22)),1)</f>
        <v/>
      </c>
      <c r="G13" s="35">
        <f>IFERROR(IF('03_ALTERNATIF'!$L$19="Benefit",('03_ALTERNATIF'!L13-'03_ALTERNATIF'!$L$22)/('03_ALTERNATIF'!$L$21-'03_ALTERNATIF'!$L$22),('03_ALTERNATIF'!$L$21-'03_ALTERNATIF'!L13)/('03_ALTERNATIF'!$L$21-'03_ALTERNATIF'!$L$22)),1)</f>
        <v/>
      </c>
      <c r="H13" s="35">
        <f>IFERROR(IF('03_ALTERNATIF'!$M$19="Benefit",('03_ALTERNATIF'!M13-'03_ALTERNATIF'!$M$22)/('03_ALTERNATIF'!$M$21-'03_ALTERNATIF'!$M$22),('03_ALTERNATIF'!$M$21-'03_ALTERNATIF'!M13)/('03_ALTERNATIF'!$M$21-'03_ALTERNATIF'!$M$22)),1)</f>
        <v/>
      </c>
      <c r="I13" s="35">
        <f>IFERROR(IF('03_ALTERNATIF'!$N$19="Benefit",('03_ALTERNATIF'!N13-'03_ALTERNATIF'!$N$22)/('03_ALTERNATIF'!$N$21-'03_ALTERNATIF'!$N$22),('03_ALTERNATIF'!$N$21-'03_ALTERNATIF'!N13)/('03_ALTERNATIF'!$N$21-'03_ALTERNATIF'!$N$22)),1)</f>
        <v/>
      </c>
      <c r="J13" s="37">
        <f>SUMPRODUCT($E13:$I13,'03_ALTERNATIF'!$J$20:$N$20)</f>
        <v/>
      </c>
      <c r="K13" s="10">
        <f>RANK.EQ($J13,$J$4:$J$18,0)</f>
        <v/>
      </c>
      <c r="L13" s="5">
        <f>K13+COUNTIF($J$4:$J13,$J13)-1</f>
        <v/>
      </c>
      <c r="M13" s="5">
        <f>VLOOKUP($B13,'05_ARSIP_221'!$A$4:$N$224,14,FALSE)</f>
        <v/>
      </c>
      <c r="N13" s="6">
        <f>IF($K13&lt;=3,"★ Rekomendasi",IF($K13&lt;=5,"○ Cadangan","—"))</f>
        <v/>
      </c>
      <c r="P13" s="5">
        <f>K13</f>
        <v/>
      </c>
      <c r="Q13" s="6">
        <f>C13</f>
        <v/>
      </c>
      <c r="R13" s="38">
        <f>J13</f>
        <v/>
      </c>
    </row>
    <row r="14" ht="30" customHeight="1">
      <c r="A14" s="10">
        <f>'03_ALTERNATIF'!A14</f>
        <v/>
      </c>
      <c r="B14" s="10">
        <f>'03_ALTERNATIF'!B14</f>
        <v/>
      </c>
      <c r="C14" s="6">
        <f>VLOOKUP($B14,'03_ALTERNATIF'!$B$4:$C$18,2,FALSE)</f>
        <v/>
      </c>
      <c r="D14" s="6">
        <f>INDEX('03_ALTERNATIF'!$D$4:$D$18,MATCH($B14,'03_ALTERNATIF'!$B$4:$B$18,0))</f>
        <v/>
      </c>
      <c r="E14" s="35">
        <f>IFERROR(IF('03_ALTERNATIF'!$J$19="Benefit",('03_ALTERNATIF'!J14-'03_ALTERNATIF'!$J$22)/('03_ALTERNATIF'!$J$21-'03_ALTERNATIF'!$J$22),('03_ALTERNATIF'!$J$21-'03_ALTERNATIF'!J14)/('03_ALTERNATIF'!$J$21-'03_ALTERNATIF'!$J$22)),1)</f>
        <v/>
      </c>
      <c r="F14" s="35">
        <f>IFERROR(IF('03_ALTERNATIF'!$K$19="Benefit",('03_ALTERNATIF'!K14-'03_ALTERNATIF'!$K$22)/('03_ALTERNATIF'!$K$21-'03_ALTERNATIF'!$K$22),('03_ALTERNATIF'!$K$21-'03_ALTERNATIF'!K14)/('03_ALTERNATIF'!$K$21-'03_ALTERNATIF'!$K$22)),1)</f>
        <v/>
      </c>
      <c r="G14" s="35">
        <f>IFERROR(IF('03_ALTERNATIF'!$L$19="Benefit",('03_ALTERNATIF'!L14-'03_ALTERNATIF'!$L$22)/('03_ALTERNATIF'!$L$21-'03_ALTERNATIF'!$L$22),('03_ALTERNATIF'!$L$21-'03_ALTERNATIF'!L14)/('03_ALTERNATIF'!$L$21-'03_ALTERNATIF'!$L$22)),1)</f>
        <v/>
      </c>
      <c r="H14" s="35">
        <f>IFERROR(IF('03_ALTERNATIF'!$M$19="Benefit",('03_ALTERNATIF'!M14-'03_ALTERNATIF'!$M$22)/('03_ALTERNATIF'!$M$21-'03_ALTERNATIF'!$M$22),('03_ALTERNATIF'!$M$21-'03_ALTERNATIF'!M14)/('03_ALTERNATIF'!$M$21-'03_ALTERNATIF'!$M$22)),1)</f>
        <v/>
      </c>
      <c r="I14" s="35">
        <f>IFERROR(IF('03_ALTERNATIF'!$N$19="Benefit",('03_ALTERNATIF'!N14-'03_ALTERNATIF'!$N$22)/('03_ALTERNATIF'!$N$21-'03_ALTERNATIF'!$N$22),('03_ALTERNATIF'!$N$21-'03_ALTERNATIF'!N14)/('03_ALTERNATIF'!$N$21-'03_ALTERNATIF'!$N$22)),1)</f>
        <v/>
      </c>
      <c r="J14" s="37">
        <f>SUMPRODUCT($E14:$I14,'03_ALTERNATIF'!$J$20:$N$20)</f>
        <v/>
      </c>
      <c r="K14" s="10">
        <f>RANK.EQ($J14,$J$4:$J$18,0)</f>
        <v/>
      </c>
      <c r="L14" s="5">
        <f>K14+COUNTIF($J$4:$J14,$J14)-1</f>
        <v/>
      </c>
      <c r="M14" s="5">
        <f>VLOOKUP($B14,'05_ARSIP_221'!$A$4:$N$224,14,FALSE)</f>
        <v/>
      </c>
      <c r="N14" s="6">
        <f>IF($K14&lt;=3,"★ Rekomendasi",IF($K14&lt;=5,"○ Cadangan","—"))</f>
        <v/>
      </c>
      <c r="P14" s="5">
        <f>K14</f>
        <v/>
      </c>
      <c r="Q14" s="6">
        <f>C14</f>
        <v/>
      </c>
      <c r="R14" s="38">
        <f>J14</f>
        <v/>
      </c>
    </row>
    <row r="15" ht="30" customHeight="1">
      <c r="A15" s="10">
        <f>'03_ALTERNATIF'!A15</f>
        <v/>
      </c>
      <c r="B15" s="10">
        <f>'03_ALTERNATIF'!B15</f>
        <v/>
      </c>
      <c r="C15" s="6">
        <f>VLOOKUP($B15,'03_ALTERNATIF'!$B$4:$C$18,2,FALSE)</f>
        <v/>
      </c>
      <c r="D15" s="6">
        <f>INDEX('03_ALTERNATIF'!$D$4:$D$18,MATCH($B15,'03_ALTERNATIF'!$B$4:$B$18,0))</f>
        <v/>
      </c>
      <c r="E15" s="35">
        <f>IFERROR(IF('03_ALTERNATIF'!$J$19="Benefit",('03_ALTERNATIF'!J15-'03_ALTERNATIF'!$J$22)/('03_ALTERNATIF'!$J$21-'03_ALTERNATIF'!$J$22),('03_ALTERNATIF'!$J$21-'03_ALTERNATIF'!J15)/('03_ALTERNATIF'!$J$21-'03_ALTERNATIF'!$J$22)),1)</f>
        <v/>
      </c>
      <c r="F15" s="35">
        <f>IFERROR(IF('03_ALTERNATIF'!$K$19="Benefit",('03_ALTERNATIF'!K15-'03_ALTERNATIF'!$K$22)/('03_ALTERNATIF'!$K$21-'03_ALTERNATIF'!$K$22),('03_ALTERNATIF'!$K$21-'03_ALTERNATIF'!K15)/('03_ALTERNATIF'!$K$21-'03_ALTERNATIF'!$K$22)),1)</f>
        <v/>
      </c>
      <c r="G15" s="35">
        <f>IFERROR(IF('03_ALTERNATIF'!$L$19="Benefit",('03_ALTERNATIF'!L15-'03_ALTERNATIF'!$L$22)/('03_ALTERNATIF'!$L$21-'03_ALTERNATIF'!$L$22),('03_ALTERNATIF'!$L$21-'03_ALTERNATIF'!L15)/('03_ALTERNATIF'!$L$21-'03_ALTERNATIF'!$L$22)),1)</f>
        <v/>
      </c>
      <c r="H15" s="35">
        <f>IFERROR(IF('03_ALTERNATIF'!$M$19="Benefit",('03_ALTERNATIF'!M15-'03_ALTERNATIF'!$M$22)/('03_ALTERNATIF'!$M$21-'03_ALTERNATIF'!$M$22),('03_ALTERNATIF'!$M$21-'03_ALTERNATIF'!M15)/('03_ALTERNATIF'!$M$21-'03_ALTERNATIF'!$M$22)),1)</f>
        <v/>
      </c>
      <c r="I15" s="35">
        <f>IFERROR(IF('03_ALTERNATIF'!$N$19="Benefit",('03_ALTERNATIF'!N15-'03_ALTERNATIF'!$N$22)/('03_ALTERNATIF'!$N$21-'03_ALTERNATIF'!$N$22),('03_ALTERNATIF'!$N$21-'03_ALTERNATIF'!N15)/('03_ALTERNATIF'!$N$21-'03_ALTERNATIF'!$N$22)),1)</f>
        <v/>
      </c>
      <c r="J15" s="37">
        <f>SUMPRODUCT($E15:$I15,'03_ALTERNATIF'!$J$20:$N$20)</f>
        <v/>
      </c>
      <c r="K15" s="10">
        <f>RANK.EQ($J15,$J$4:$J$18,0)</f>
        <v/>
      </c>
      <c r="L15" s="5">
        <f>K15+COUNTIF($J$4:$J15,$J15)-1</f>
        <v/>
      </c>
      <c r="M15" s="5">
        <f>VLOOKUP($B15,'05_ARSIP_221'!$A$4:$N$224,14,FALSE)</f>
        <v/>
      </c>
      <c r="N15" s="6">
        <f>IF($K15&lt;=3,"★ Rekomendasi",IF($K15&lt;=5,"○ Cadangan","—"))</f>
        <v/>
      </c>
      <c r="P15" s="5">
        <f>K15</f>
        <v/>
      </c>
      <c r="Q15" s="6">
        <f>C15</f>
        <v/>
      </c>
      <c r="R15" s="38">
        <f>J15</f>
        <v/>
      </c>
    </row>
    <row r="16" ht="30" customHeight="1">
      <c r="A16" s="10">
        <f>'03_ALTERNATIF'!A16</f>
        <v/>
      </c>
      <c r="B16" s="10">
        <f>'03_ALTERNATIF'!B16</f>
        <v/>
      </c>
      <c r="C16" s="6">
        <f>VLOOKUP($B16,'03_ALTERNATIF'!$B$4:$C$18,2,FALSE)</f>
        <v/>
      </c>
      <c r="D16" s="6">
        <f>INDEX('03_ALTERNATIF'!$D$4:$D$18,MATCH($B16,'03_ALTERNATIF'!$B$4:$B$18,0))</f>
        <v/>
      </c>
      <c r="E16" s="35">
        <f>IFERROR(IF('03_ALTERNATIF'!$J$19="Benefit",('03_ALTERNATIF'!J16-'03_ALTERNATIF'!$J$22)/('03_ALTERNATIF'!$J$21-'03_ALTERNATIF'!$J$22),('03_ALTERNATIF'!$J$21-'03_ALTERNATIF'!J16)/('03_ALTERNATIF'!$J$21-'03_ALTERNATIF'!$J$22)),1)</f>
        <v/>
      </c>
      <c r="F16" s="35">
        <f>IFERROR(IF('03_ALTERNATIF'!$K$19="Benefit",('03_ALTERNATIF'!K16-'03_ALTERNATIF'!$K$22)/('03_ALTERNATIF'!$K$21-'03_ALTERNATIF'!$K$22),('03_ALTERNATIF'!$K$21-'03_ALTERNATIF'!K16)/('03_ALTERNATIF'!$K$21-'03_ALTERNATIF'!$K$22)),1)</f>
        <v/>
      </c>
      <c r="G16" s="35">
        <f>IFERROR(IF('03_ALTERNATIF'!$L$19="Benefit",('03_ALTERNATIF'!L16-'03_ALTERNATIF'!$L$22)/('03_ALTERNATIF'!$L$21-'03_ALTERNATIF'!$L$22),('03_ALTERNATIF'!$L$21-'03_ALTERNATIF'!L16)/('03_ALTERNATIF'!$L$21-'03_ALTERNATIF'!$L$22)),1)</f>
        <v/>
      </c>
      <c r="H16" s="35">
        <f>IFERROR(IF('03_ALTERNATIF'!$M$19="Benefit",('03_ALTERNATIF'!M16-'03_ALTERNATIF'!$M$22)/('03_ALTERNATIF'!$M$21-'03_ALTERNATIF'!$M$22),('03_ALTERNATIF'!$M$21-'03_ALTERNATIF'!M16)/('03_ALTERNATIF'!$M$21-'03_ALTERNATIF'!$M$22)),1)</f>
        <v/>
      </c>
      <c r="I16" s="35">
        <f>IFERROR(IF('03_ALTERNATIF'!$N$19="Benefit",('03_ALTERNATIF'!N16-'03_ALTERNATIF'!$N$22)/('03_ALTERNATIF'!$N$21-'03_ALTERNATIF'!$N$22),('03_ALTERNATIF'!$N$21-'03_ALTERNATIF'!N16)/('03_ALTERNATIF'!$N$21-'03_ALTERNATIF'!$N$22)),1)</f>
        <v/>
      </c>
      <c r="J16" s="37">
        <f>SUMPRODUCT($E16:$I16,'03_ALTERNATIF'!$J$20:$N$20)</f>
        <v/>
      </c>
      <c r="K16" s="10">
        <f>RANK.EQ($J16,$J$4:$J$18,0)</f>
        <v/>
      </c>
      <c r="L16" s="5">
        <f>K16+COUNTIF($J$4:$J16,$J16)-1</f>
        <v/>
      </c>
      <c r="M16" s="5">
        <f>VLOOKUP($B16,'05_ARSIP_221'!$A$4:$N$224,14,FALSE)</f>
        <v/>
      </c>
      <c r="N16" s="6">
        <f>IF($K16&lt;=3,"★ Rekomendasi",IF($K16&lt;=5,"○ Cadangan","—"))</f>
        <v/>
      </c>
      <c r="P16" s="5">
        <f>K16</f>
        <v/>
      </c>
      <c r="Q16" s="6">
        <f>C16</f>
        <v/>
      </c>
      <c r="R16" s="38">
        <f>J16</f>
        <v/>
      </c>
    </row>
    <row r="17" ht="30" customHeight="1">
      <c r="A17" s="10">
        <f>'03_ALTERNATIF'!A17</f>
        <v/>
      </c>
      <c r="B17" s="10">
        <f>'03_ALTERNATIF'!B17</f>
        <v/>
      </c>
      <c r="C17" s="6">
        <f>VLOOKUP($B17,'03_ALTERNATIF'!$B$4:$C$18,2,FALSE)</f>
        <v/>
      </c>
      <c r="D17" s="6">
        <f>INDEX('03_ALTERNATIF'!$D$4:$D$18,MATCH($B17,'03_ALTERNATIF'!$B$4:$B$18,0))</f>
        <v/>
      </c>
      <c r="E17" s="35">
        <f>IFERROR(IF('03_ALTERNATIF'!$J$19="Benefit",('03_ALTERNATIF'!J17-'03_ALTERNATIF'!$J$22)/('03_ALTERNATIF'!$J$21-'03_ALTERNATIF'!$J$22),('03_ALTERNATIF'!$J$21-'03_ALTERNATIF'!J17)/('03_ALTERNATIF'!$J$21-'03_ALTERNATIF'!$J$22)),1)</f>
        <v/>
      </c>
      <c r="F17" s="35">
        <f>IFERROR(IF('03_ALTERNATIF'!$K$19="Benefit",('03_ALTERNATIF'!K17-'03_ALTERNATIF'!$K$22)/('03_ALTERNATIF'!$K$21-'03_ALTERNATIF'!$K$22),('03_ALTERNATIF'!$K$21-'03_ALTERNATIF'!K17)/('03_ALTERNATIF'!$K$21-'03_ALTERNATIF'!$K$22)),1)</f>
        <v/>
      </c>
      <c r="G17" s="35">
        <f>IFERROR(IF('03_ALTERNATIF'!$L$19="Benefit",('03_ALTERNATIF'!L17-'03_ALTERNATIF'!$L$22)/('03_ALTERNATIF'!$L$21-'03_ALTERNATIF'!$L$22),('03_ALTERNATIF'!$L$21-'03_ALTERNATIF'!L17)/('03_ALTERNATIF'!$L$21-'03_ALTERNATIF'!$L$22)),1)</f>
        <v/>
      </c>
      <c r="H17" s="35">
        <f>IFERROR(IF('03_ALTERNATIF'!$M$19="Benefit",('03_ALTERNATIF'!M17-'03_ALTERNATIF'!$M$22)/('03_ALTERNATIF'!$M$21-'03_ALTERNATIF'!$M$22),('03_ALTERNATIF'!$M$21-'03_ALTERNATIF'!M17)/('03_ALTERNATIF'!$M$21-'03_ALTERNATIF'!$M$22)),1)</f>
        <v/>
      </c>
      <c r="I17" s="35">
        <f>IFERROR(IF('03_ALTERNATIF'!$N$19="Benefit",('03_ALTERNATIF'!N17-'03_ALTERNATIF'!$N$22)/('03_ALTERNATIF'!$N$21-'03_ALTERNATIF'!$N$22),('03_ALTERNATIF'!$N$21-'03_ALTERNATIF'!N17)/('03_ALTERNATIF'!$N$21-'03_ALTERNATIF'!$N$22)),1)</f>
        <v/>
      </c>
      <c r="J17" s="37">
        <f>SUMPRODUCT($E17:$I17,'03_ALTERNATIF'!$J$20:$N$20)</f>
        <v/>
      </c>
      <c r="K17" s="10">
        <f>RANK.EQ($J17,$J$4:$J$18,0)</f>
        <v/>
      </c>
      <c r="L17" s="5">
        <f>K17+COUNTIF($J$4:$J17,$J17)-1</f>
        <v/>
      </c>
      <c r="M17" s="5">
        <f>VLOOKUP($B17,'05_ARSIP_221'!$A$4:$N$224,14,FALSE)</f>
        <v/>
      </c>
      <c r="N17" s="6">
        <f>IF($K17&lt;=3,"★ Rekomendasi",IF($K17&lt;=5,"○ Cadangan","—"))</f>
        <v/>
      </c>
      <c r="P17" s="5">
        <f>K17</f>
        <v/>
      </c>
      <c r="Q17" s="6">
        <f>C17</f>
        <v/>
      </c>
      <c r="R17" s="38">
        <f>J17</f>
        <v/>
      </c>
    </row>
    <row r="18" ht="30" customHeight="1">
      <c r="A18" s="10">
        <f>'03_ALTERNATIF'!A18</f>
        <v/>
      </c>
      <c r="B18" s="10">
        <f>'03_ALTERNATIF'!B18</f>
        <v/>
      </c>
      <c r="C18" s="6">
        <f>VLOOKUP($B18,'03_ALTERNATIF'!$B$4:$C$18,2,FALSE)</f>
        <v/>
      </c>
      <c r="D18" s="6">
        <f>INDEX('03_ALTERNATIF'!$D$4:$D$18,MATCH($B18,'03_ALTERNATIF'!$B$4:$B$18,0))</f>
        <v/>
      </c>
      <c r="E18" s="35">
        <f>IFERROR(IF('03_ALTERNATIF'!$J$19="Benefit",('03_ALTERNATIF'!J18-'03_ALTERNATIF'!$J$22)/('03_ALTERNATIF'!$J$21-'03_ALTERNATIF'!$J$22),('03_ALTERNATIF'!$J$21-'03_ALTERNATIF'!J18)/('03_ALTERNATIF'!$J$21-'03_ALTERNATIF'!$J$22)),1)</f>
        <v/>
      </c>
      <c r="F18" s="35">
        <f>IFERROR(IF('03_ALTERNATIF'!$K$19="Benefit",('03_ALTERNATIF'!K18-'03_ALTERNATIF'!$K$22)/('03_ALTERNATIF'!$K$21-'03_ALTERNATIF'!$K$22),('03_ALTERNATIF'!$K$21-'03_ALTERNATIF'!K18)/('03_ALTERNATIF'!$K$21-'03_ALTERNATIF'!$K$22)),1)</f>
        <v/>
      </c>
      <c r="G18" s="35">
        <f>IFERROR(IF('03_ALTERNATIF'!$L$19="Benefit",('03_ALTERNATIF'!L18-'03_ALTERNATIF'!$L$22)/('03_ALTERNATIF'!$L$21-'03_ALTERNATIF'!$L$22),('03_ALTERNATIF'!$L$21-'03_ALTERNATIF'!L18)/('03_ALTERNATIF'!$L$21-'03_ALTERNATIF'!$L$22)),1)</f>
        <v/>
      </c>
      <c r="H18" s="35">
        <f>IFERROR(IF('03_ALTERNATIF'!$M$19="Benefit",('03_ALTERNATIF'!M18-'03_ALTERNATIF'!$M$22)/('03_ALTERNATIF'!$M$21-'03_ALTERNATIF'!$M$22),('03_ALTERNATIF'!$M$21-'03_ALTERNATIF'!M18)/('03_ALTERNATIF'!$M$21-'03_ALTERNATIF'!$M$22)),1)</f>
        <v/>
      </c>
      <c r="I18" s="35">
        <f>IFERROR(IF('03_ALTERNATIF'!$N$19="Benefit",('03_ALTERNATIF'!N18-'03_ALTERNATIF'!$N$22)/('03_ALTERNATIF'!$N$21-'03_ALTERNATIF'!$N$22),('03_ALTERNATIF'!$N$21-'03_ALTERNATIF'!N18)/('03_ALTERNATIF'!$N$21-'03_ALTERNATIF'!$N$22)),1)</f>
        <v/>
      </c>
      <c r="J18" s="37">
        <f>SUMPRODUCT($E18:$I18,'03_ALTERNATIF'!$J$20:$N$20)</f>
        <v/>
      </c>
      <c r="K18" s="10">
        <f>RANK.EQ($J18,$J$4:$J$18,0)</f>
        <v/>
      </c>
      <c r="L18" s="5">
        <f>K18+COUNTIF($J$4:$J18,$J18)-1</f>
        <v/>
      </c>
      <c r="M18" s="5">
        <f>VLOOKUP($B18,'05_ARSIP_221'!$A$4:$N$224,14,FALSE)</f>
        <v/>
      </c>
      <c r="N18" s="6">
        <f>IF($K18&lt;=3,"★ Rekomendasi",IF($K18&lt;=5,"○ Cadangan","—"))</f>
        <v/>
      </c>
      <c r="P18" s="5">
        <f>K18</f>
        <v/>
      </c>
      <c r="Q18" s="6">
        <f>C18</f>
        <v/>
      </c>
      <c r="R18" s="38">
        <f>J18</f>
        <v/>
      </c>
    </row>
    <row r="19">
      <c r="A19" s="10" t="inlineStr">
        <is>
          <t>STAT</t>
        </is>
      </c>
      <c r="B19" s="14" t="n"/>
      <c r="C19" s="14" t="n"/>
      <c r="D19" s="7" t="n"/>
      <c r="I19" s="10" t="inlineStr">
        <is>
          <t>RATA2:</t>
        </is>
      </c>
      <c r="J19" s="39">
        <f>AVERAGE(J4:J18)</f>
        <v/>
      </c>
    </row>
    <row r="20">
      <c r="I20" s="5" t="inlineStr">
        <is>
          <t>STDEV:</t>
        </is>
      </c>
      <c r="J20" s="38">
        <f>STDEV(J4:J18)</f>
        <v/>
      </c>
      <c r="K20" s="6">
        <f>COUNTIF(K4:K18,"&lt;=3")&amp;" top-3"</f>
        <v/>
      </c>
    </row>
    <row r="22">
      <c r="A22" s="4" t="inlineStr">
        <is>
          <t>KOTAK LOOKUP PEMENANG — ketik Rank 1–15 di sel kuning C23 (dibuktikan 3 metode: VLOOKUP vs INDEX-MATCH vs XLOOKUP)</t>
        </is>
      </c>
    </row>
    <row r="23">
      <c r="B23" s="10" t="inlineStr">
        <is>
          <t>Input Rank:</t>
        </is>
      </c>
      <c r="C23" s="11" t="n">
        <v>1</v>
      </c>
    </row>
    <row r="24">
      <c r="B24" s="5" t="inlineStr">
        <is>
          <t>Judul (VLOOKUP):</t>
        </is>
      </c>
      <c r="C24" s="15">
        <f>VLOOKUP($C$23,$P$4:$Q$18,2,FALSE)</f>
        <v/>
      </c>
    </row>
    <row r="25">
      <c r="B25" s="5" t="inlineStr">
        <is>
          <t>Nilai (VLOOKUP):</t>
        </is>
      </c>
      <c r="C25" s="40">
        <f>VLOOKUP($C$23,$P$4:$R$18,3,FALSE)</f>
        <v/>
      </c>
    </row>
    <row r="26">
      <c r="B26" s="5" t="inlineStr">
        <is>
          <t>Judul (INDEX-MATCH):</t>
        </is>
      </c>
      <c r="C26" s="6">
        <f>INDEX($C$4:$C$18,MATCH($C$23,$K$4:$K$18,0))</f>
        <v/>
      </c>
    </row>
    <row r="27">
      <c r="B27" s="5" t="inlineStr">
        <is>
          <t>Nilai (INDEX-MATCH):</t>
        </is>
      </c>
      <c r="C27" s="38">
        <f>INDEX($J$4:$J$18,MATCH($C$23,$K$4:$K$18,0))</f>
        <v/>
      </c>
    </row>
    <row r="28">
      <c r="B28" s="5" t="inlineStr">
        <is>
          <t>Judul (XLOOKUP):</t>
        </is>
      </c>
      <c r="C28" s="6">
        <f>XLOOKUP($C$23,$K$4:$K$18,$C$4:$C$18,"tidak ada")</f>
        <v/>
      </c>
    </row>
    <row r="30" ht="36" customHeight="1">
      <c r="A30" s="41">
        <f>CONCAT("KESIMPULAN: Rank ",C23," = ",C24," (Nilai ",TEXT(C25,"0.0000"),") — diverifikasi sama via INDEX-MATCH (",C26,")")</f>
        <v/>
      </c>
    </row>
    <row r="31">
      <c r="A31" s="26" t="inlineStr">
        <is>
          <t>CATATAN: Nilai demo memakai MIN/MAX 15 alternatif (lokal) sehingga ≠ nilai global 221. Kolom M (Rank Global via VLOOKUP ke 05_ARSIP_221) jadi pembanding adil. BEDA vs v4: v4 Nilai = (B19*$B$5)+... manual &amp; Rank=RANK; file ini Nilai=SUMPRODUCT &amp; Rank=RANK.EQ+Rank Unik (COUNTIF) + 3 metode lookup + helper P:R.</t>
        </is>
      </c>
    </row>
    <row r="32"/>
  </sheetData>
  <autoFilter ref="A3:N18"/>
  <mergeCells count="9">
    <mergeCell ref="A30:R30"/>
    <mergeCell ref="C28:R28"/>
    <mergeCell ref="A2:R2"/>
    <mergeCell ref="A31:R32"/>
    <mergeCell ref="C26:R26"/>
    <mergeCell ref="A1:R1"/>
    <mergeCell ref="A19:D19"/>
    <mergeCell ref="C24:R24"/>
    <mergeCell ref="A22:R22"/>
  </mergeCells>
  <conditionalFormatting sqref="K4:K18">
    <cfRule type="cellIs" priority="1" operator="lessThanOrEqual" dxfId="1">
      <formula>3</formula>
    </cfRule>
  </conditionalFormatting>
  <conditionalFormatting sqref="J4:J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C23" showDropDown="0" showInputMessage="0" showErrorMessage="1" allowBlank="0" errorTitle="Rank salah" error="Isi 1–15" type="whole" operator="between">
      <formula1>1</formula1>
      <formula2>15</formula2>
    </dataValidation>
  </dataValidations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N2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10" customWidth="1" min="14" max="14"/>
  </cols>
  <sheetData>
    <row r="1" ht="28" customHeight="1">
      <c r="A1" s="1" t="inlineStr">
        <is>
          <t>05 — ARSIP 221 LOWONGAN (skor &amp; rank GLOBAL, MIN/MAX dari 221)</t>
        </is>
      </c>
    </row>
    <row r="2" ht="30" customHeight="1">
      <c r="A2" s="2" t="inlineStr">
        <is>
          <t>X statis real utk MHS-R050  •  Utility + Nilai + Rank = RUMUS live (ikut bobot 01_KRITERIA)  •  Kolom N jadi acuan VLOOKUP sheet 04</t>
        </is>
      </c>
    </row>
    <row r="3" ht="36" customHeight="1">
      <c r="A3" s="4" t="inlineStr">
        <is>
          <t>Job ID</t>
        </is>
      </c>
      <c r="B3" s="4" t="inlineStr">
        <is>
          <t>Judul</t>
        </is>
      </c>
      <c r="C3" s="4" t="inlineStr">
        <is>
          <t>C1</t>
        </is>
      </c>
      <c r="D3" s="4" t="inlineStr">
        <is>
          <t>C2</t>
        </is>
      </c>
      <c r="E3" s="4" t="inlineStr">
        <is>
          <t>C3</t>
        </is>
      </c>
      <c r="F3" s="4" t="inlineStr">
        <is>
          <t>C4</t>
        </is>
      </c>
      <c r="G3" s="4" t="inlineStr">
        <is>
          <t>C5</t>
        </is>
      </c>
      <c r="H3" s="4" t="inlineStr">
        <is>
          <t>u_C1</t>
        </is>
      </c>
      <c r="I3" s="4" t="inlineStr">
        <is>
          <t>u_C2</t>
        </is>
      </c>
      <c r="J3" s="4" t="inlineStr">
        <is>
          <t>u_C3</t>
        </is>
      </c>
      <c r="K3" s="4" t="inlineStr">
        <is>
          <t>u_C4</t>
        </is>
      </c>
      <c r="L3" s="4" t="inlineStr">
        <is>
          <t>u_C5</t>
        </is>
      </c>
      <c r="M3" s="4" t="inlineStr">
        <is>
          <t>Nilai Global</t>
        </is>
      </c>
      <c r="N3" s="4" t="inlineStr">
        <is>
          <t>Rank Global</t>
        </is>
      </c>
    </row>
    <row r="4" ht="15" customHeight="1">
      <c r="A4" s="10" t="inlineStr">
        <is>
          <t>JOB-1181</t>
        </is>
      </c>
      <c r="B4" s="6" t="inlineStr">
        <is>
          <t>Part Time Guru Ekskul Board Game di sekolah sekitar Tangsel</t>
        </is>
      </c>
      <c r="C4" s="35" t="n">
        <v>1</v>
      </c>
      <c r="D4" s="35" t="n">
        <v>2</v>
      </c>
      <c r="E4" s="35" t="n">
        <v>1</v>
      </c>
      <c r="F4" s="35" t="n">
        <v>0.95</v>
      </c>
      <c r="G4" s="35" t="n">
        <v>0.329</v>
      </c>
      <c r="H4" s="35">
        <f>IFERROR(IF('03_ALTERNATIF'!$J$19="Benefit",(C4-$C$227)/($C$226-$C$227),($C$226-C4)/($C$226-$C$227)),1)</f>
        <v/>
      </c>
      <c r="I4" s="35">
        <f>IFERROR(IF('03_ALTERNATIF'!$K$19="Benefit",(D4-$D$227)/($D$226-$D$227),($D$226-D4)/($D$226-$D$227)),1)</f>
        <v/>
      </c>
      <c r="J4" s="35">
        <f>IFERROR(IF('03_ALTERNATIF'!$L$19="Benefit",(E4-$E$227)/($E$226-$E$227),($E$226-E4)/($E$226-$E$227)),1)</f>
        <v/>
      </c>
      <c r="K4" s="35">
        <f>IFERROR(IF('03_ALTERNATIF'!$M$19="Benefit",(F4-$F$227)/($F$226-$F$227),($F$226-F4)/($F$226-$F$227)),1)</f>
        <v/>
      </c>
      <c r="L4" s="35">
        <f>IFERROR(IF('03_ALTERNATIF'!$N$19="Benefit",(G4-$G$227)/($G$226-$G$227),($G$226-G4)/($G$226-$G$227)),1)</f>
        <v/>
      </c>
      <c r="M4" s="40">
        <f>SUMPRODUCT($H4:$L4,$H$228:$L$228)</f>
        <v/>
      </c>
      <c r="N4" s="10">
        <f>RANK.EQ($M4,$M$4:$M$224,0)</f>
        <v/>
      </c>
    </row>
    <row r="5" ht="15" customHeight="1">
      <c r="A5" s="10" t="inlineStr">
        <is>
          <t>JOB-1038</t>
        </is>
      </c>
      <c r="B5" s="6" t="inlineStr">
        <is>
          <t>SAT Tutor (Remote)</t>
        </is>
      </c>
      <c r="C5" s="35" t="n">
        <v>1</v>
      </c>
      <c r="D5" s="35" t="n">
        <v>2</v>
      </c>
      <c r="E5" s="35" t="n">
        <v>1</v>
      </c>
      <c r="F5" s="35" t="n">
        <v>0.95</v>
      </c>
      <c r="G5" s="35" t="n">
        <v>0.288</v>
      </c>
      <c r="H5" s="35">
        <f>IFERROR(IF('03_ALTERNATIF'!$J$19="Benefit",(C5-$C$227)/($C$226-$C$227),($C$226-C5)/($C$226-$C$227)),1)</f>
        <v/>
      </c>
      <c r="I5" s="35">
        <f>IFERROR(IF('03_ALTERNATIF'!$K$19="Benefit",(D5-$D$227)/($D$226-$D$227),($D$226-D5)/($D$226-$D$227)),1)</f>
        <v/>
      </c>
      <c r="J5" s="35">
        <f>IFERROR(IF('03_ALTERNATIF'!$L$19="Benefit",(E5-$E$227)/($E$226-$E$227),($E$226-E5)/($E$226-$E$227)),1)</f>
        <v/>
      </c>
      <c r="K5" s="35">
        <f>IFERROR(IF('03_ALTERNATIF'!$M$19="Benefit",(F5-$F$227)/($F$226-$F$227),($F$226-F5)/($F$226-$F$227)),1)</f>
        <v/>
      </c>
      <c r="L5" s="35">
        <f>IFERROR(IF('03_ALTERNATIF'!$N$19="Benefit",(G5-$G$227)/($G$226-$G$227),($G$226-G5)/($G$226-$G$227)),1)</f>
        <v/>
      </c>
      <c r="M5" s="40">
        <f>SUMPRODUCT($H5:$L5,$H$228:$L$228)</f>
        <v/>
      </c>
      <c r="N5" s="10">
        <f>RANK.EQ($M5,$M$4:$M$224,0)</f>
        <v/>
      </c>
    </row>
    <row r="6" ht="15" customHeight="1">
      <c r="A6" s="10" t="inlineStr">
        <is>
          <t>JOB-1233</t>
        </is>
      </c>
      <c r="B6" s="6" t="inlineStr">
        <is>
          <t>Mandarin Translator (Part Time)</t>
        </is>
      </c>
      <c r="C6" s="35" t="n">
        <v>1</v>
      </c>
      <c r="D6" s="35" t="n">
        <v>2</v>
      </c>
      <c r="E6" s="35" t="n">
        <v>1</v>
      </c>
      <c r="F6" s="35" t="n">
        <v>0.95</v>
      </c>
      <c r="G6" s="35" t="n">
        <v>0.0566</v>
      </c>
      <c r="H6" s="35">
        <f>IFERROR(IF('03_ALTERNATIF'!$J$19="Benefit",(C6-$C$227)/($C$226-$C$227),($C$226-C6)/($C$226-$C$227)),1)</f>
        <v/>
      </c>
      <c r="I6" s="35">
        <f>IFERROR(IF('03_ALTERNATIF'!$K$19="Benefit",(D6-$D$227)/($D$226-$D$227),($D$226-D6)/($D$226-$D$227)),1)</f>
        <v/>
      </c>
      <c r="J6" s="35">
        <f>IFERROR(IF('03_ALTERNATIF'!$L$19="Benefit",(E6-$E$227)/($E$226-$E$227),($E$226-E6)/($E$226-$E$227)),1)</f>
        <v/>
      </c>
      <c r="K6" s="35">
        <f>IFERROR(IF('03_ALTERNATIF'!$M$19="Benefit",(F6-$F$227)/($F$226-$F$227),($F$226-F6)/($F$226-$F$227)),1)</f>
        <v/>
      </c>
      <c r="L6" s="35">
        <f>IFERROR(IF('03_ALTERNATIF'!$N$19="Benefit",(G6-$G$227)/($G$226-$G$227),($G$226-G6)/($G$226-$G$227)),1)</f>
        <v/>
      </c>
      <c r="M6" s="40">
        <f>SUMPRODUCT($H6:$L6,$H$228:$L$228)</f>
        <v/>
      </c>
      <c r="N6" s="10">
        <f>RANK.EQ($M6,$M$4:$M$224,0)</f>
        <v/>
      </c>
    </row>
    <row r="7" ht="15" customHeight="1">
      <c r="A7" s="10" t="inlineStr">
        <is>
          <t>JOB-1351</t>
        </is>
      </c>
      <c r="B7" s="6" t="inlineStr">
        <is>
          <t>Guru Mandarin HSK 5</t>
        </is>
      </c>
      <c r="C7" s="35" t="n">
        <v>1</v>
      </c>
      <c r="D7" s="35" t="n">
        <v>2</v>
      </c>
      <c r="E7" s="35" t="n">
        <v>0.8</v>
      </c>
      <c r="F7" s="35" t="n">
        <v>0.95</v>
      </c>
      <c r="G7" s="35" t="n">
        <v>0.7528</v>
      </c>
      <c r="H7" s="35">
        <f>IFERROR(IF('03_ALTERNATIF'!$J$19="Benefit",(C7-$C$227)/($C$226-$C$227),($C$226-C7)/($C$226-$C$227)),1)</f>
        <v/>
      </c>
      <c r="I7" s="35">
        <f>IFERROR(IF('03_ALTERNATIF'!$K$19="Benefit",(D7-$D$227)/($D$226-$D$227),($D$226-D7)/($D$226-$D$227)),1)</f>
        <v/>
      </c>
      <c r="J7" s="35">
        <f>IFERROR(IF('03_ALTERNATIF'!$L$19="Benefit",(E7-$E$227)/($E$226-$E$227),($E$226-E7)/($E$226-$E$227)),1)</f>
        <v/>
      </c>
      <c r="K7" s="35">
        <f>IFERROR(IF('03_ALTERNATIF'!$M$19="Benefit",(F7-$F$227)/($F$226-$F$227),($F$226-F7)/($F$226-$F$227)),1)</f>
        <v/>
      </c>
      <c r="L7" s="35">
        <f>IFERROR(IF('03_ALTERNATIF'!$N$19="Benefit",(G7-$G$227)/($G$226-$G$227),($G$226-G7)/($G$226-$G$227)),1)</f>
        <v/>
      </c>
      <c r="M7" s="40">
        <f>SUMPRODUCT($H7:$L7,$H$228:$L$228)</f>
        <v/>
      </c>
      <c r="N7" s="10">
        <f>RANK.EQ($M7,$M$4:$M$224,0)</f>
        <v/>
      </c>
    </row>
    <row r="8" ht="15" customHeight="1">
      <c r="A8" s="10" t="inlineStr">
        <is>
          <t>JOB-1166</t>
        </is>
      </c>
      <c r="B8" s="6" t="inlineStr">
        <is>
          <t>Mandarin Tutor</t>
        </is>
      </c>
      <c r="C8" s="35" t="n">
        <v>1</v>
      </c>
      <c r="D8" s="35" t="n">
        <v>1.9048</v>
      </c>
      <c r="E8" s="35" t="n">
        <v>1</v>
      </c>
      <c r="F8" s="35" t="n">
        <v>0.95</v>
      </c>
      <c r="G8" s="35" t="n">
        <v>0.288</v>
      </c>
      <c r="H8" s="35">
        <f>IFERROR(IF('03_ALTERNATIF'!$J$19="Benefit",(C8-$C$227)/($C$226-$C$227),($C$226-C8)/($C$226-$C$227)),1)</f>
        <v/>
      </c>
      <c r="I8" s="35">
        <f>IFERROR(IF('03_ALTERNATIF'!$K$19="Benefit",(D8-$D$227)/($D$226-$D$227),($D$226-D8)/($D$226-$D$227)),1)</f>
        <v/>
      </c>
      <c r="J8" s="35">
        <f>IFERROR(IF('03_ALTERNATIF'!$L$19="Benefit",(E8-$E$227)/($E$226-$E$227),($E$226-E8)/($E$226-$E$227)),1)</f>
        <v/>
      </c>
      <c r="K8" s="35">
        <f>IFERROR(IF('03_ALTERNATIF'!$M$19="Benefit",(F8-$F$227)/($F$226-$F$227),($F$226-F8)/($F$226-$F$227)),1)</f>
        <v/>
      </c>
      <c r="L8" s="35">
        <f>IFERROR(IF('03_ALTERNATIF'!$N$19="Benefit",(G8-$G$227)/($G$226-$G$227),($G$226-G8)/($G$226-$G$227)),1)</f>
        <v/>
      </c>
      <c r="M8" s="40">
        <f>SUMPRODUCT($H8:$L8,$H$228:$L$228)</f>
        <v/>
      </c>
      <c r="N8" s="10">
        <f>RANK.EQ($M8,$M$4:$M$224,0)</f>
        <v/>
      </c>
    </row>
    <row r="9" ht="15" customHeight="1">
      <c r="A9" s="10" t="inlineStr">
        <is>
          <t>JOB-1157</t>
        </is>
      </c>
      <c r="B9" s="6" t="inlineStr">
        <is>
          <t>Guru Robotic Dan AI ( Artificial Intelligence )</t>
        </is>
      </c>
      <c r="C9" s="35" t="n">
        <v>1</v>
      </c>
      <c r="D9" s="35" t="n">
        <v>1.8095</v>
      </c>
      <c r="E9" s="35" t="n">
        <v>1</v>
      </c>
      <c r="F9" s="35" t="n">
        <v>0.95</v>
      </c>
      <c r="G9" s="35" t="n">
        <v>0.329</v>
      </c>
      <c r="H9" s="35">
        <f>IFERROR(IF('03_ALTERNATIF'!$J$19="Benefit",(C9-$C$227)/($C$226-$C$227),($C$226-C9)/($C$226-$C$227)),1)</f>
        <v/>
      </c>
      <c r="I9" s="35">
        <f>IFERROR(IF('03_ALTERNATIF'!$K$19="Benefit",(D9-$D$227)/($D$226-$D$227),($D$226-D9)/($D$226-$D$227)),1)</f>
        <v/>
      </c>
      <c r="J9" s="35">
        <f>IFERROR(IF('03_ALTERNATIF'!$L$19="Benefit",(E9-$E$227)/($E$226-$E$227),($E$226-E9)/($E$226-$E$227)),1)</f>
        <v/>
      </c>
      <c r="K9" s="35">
        <f>IFERROR(IF('03_ALTERNATIF'!$M$19="Benefit",(F9-$F$227)/($F$226-$F$227),($F$226-F9)/($F$226-$F$227)),1)</f>
        <v/>
      </c>
      <c r="L9" s="35">
        <f>IFERROR(IF('03_ALTERNATIF'!$N$19="Benefit",(G9-$G$227)/($G$226-$G$227),($G$226-G9)/($G$226-$G$227)),1)</f>
        <v/>
      </c>
      <c r="M9" s="40">
        <f>SUMPRODUCT($H9:$L9,$H$228:$L$228)</f>
        <v/>
      </c>
      <c r="N9" s="10">
        <f>RANK.EQ($M9,$M$4:$M$224,0)</f>
        <v/>
      </c>
    </row>
    <row r="10" ht="15" customHeight="1">
      <c r="A10" s="10" t="inlineStr">
        <is>
          <t>JOB-1196</t>
        </is>
      </c>
      <c r="B10" s="6" t="inlineStr">
        <is>
          <t>Guru Bahasa Inggris Online - Part Time</t>
        </is>
      </c>
      <c r="C10" s="35" t="n">
        <v>1</v>
      </c>
      <c r="D10" s="35" t="n">
        <v>1.8095</v>
      </c>
      <c r="E10" s="35" t="n">
        <v>1</v>
      </c>
      <c r="F10" s="35" t="n">
        <v>0.95</v>
      </c>
      <c r="G10" s="35" t="n">
        <v>0.288</v>
      </c>
      <c r="H10" s="35">
        <f>IFERROR(IF('03_ALTERNATIF'!$J$19="Benefit",(C10-$C$227)/($C$226-$C$227),($C$226-C10)/($C$226-$C$227)),1)</f>
        <v/>
      </c>
      <c r="I10" s="35">
        <f>IFERROR(IF('03_ALTERNATIF'!$K$19="Benefit",(D10-$D$227)/($D$226-$D$227),($D$226-D10)/($D$226-$D$227)),1)</f>
        <v/>
      </c>
      <c r="J10" s="35">
        <f>IFERROR(IF('03_ALTERNATIF'!$L$19="Benefit",(E10-$E$227)/($E$226-$E$227),($E$226-E10)/($E$226-$E$227)),1)</f>
        <v/>
      </c>
      <c r="K10" s="35">
        <f>IFERROR(IF('03_ALTERNATIF'!$M$19="Benefit",(F10-$F$227)/($F$226-$F$227),($F$226-F10)/($F$226-$F$227)),1)</f>
        <v/>
      </c>
      <c r="L10" s="35">
        <f>IFERROR(IF('03_ALTERNATIF'!$N$19="Benefit",(G10-$G$227)/($G$226-$G$227),($G$226-G10)/($G$226-$G$227)),1)</f>
        <v/>
      </c>
      <c r="M10" s="40">
        <f>SUMPRODUCT($H10:$L10,$H$228:$L$228)</f>
        <v/>
      </c>
      <c r="N10" s="10">
        <f>RANK.EQ($M10,$M$4:$M$224,0)</f>
        <v/>
      </c>
    </row>
    <row r="11" ht="15" customHeight="1">
      <c r="A11" s="10" t="inlineStr">
        <is>
          <t>JOB-1255</t>
        </is>
      </c>
      <c r="B11" s="6" t="inlineStr">
        <is>
          <t>Japanese Tutor / Pengajar Bahasa Jepang - Jakarta (Part Time)</t>
        </is>
      </c>
      <c r="C11" s="35" t="n">
        <v>1</v>
      </c>
      <c r="D11" s="35" t="n">
        <v>2</v>
      </c>
      <c r="E11" s="35" t="n">
        <v>0.8</v>
      </c>
      <c r="F11" s="35" t="n">
        <v>0.95</v>
      </c>
      <c r="G11" s="35" t="n">
        <v>0.0639</v>
      </c>
      <c r="H11" s="35">
        <f>IFERROR(IF('03_ALTERNATIF'!$J$19="Benefit",(C11-$C$227)/($C$226-$C$227),($C$226-C11)/($C$226-$C$227)),1)</f>
        <v/>
      </c>
      <c r="I11" s="35">
        <f>IFERROR(IF('03_ALTERNATIF'!$K$19="Benefit",(D11-$D$227)/($D$226-$D$227),($D$226-D11)/($D$226-$D$227)),1)</f>
        <v/>
      </c>
      <c r="J11" s="35">
        <f>IFERROR(IF('03_ALTERNATIF'!$L$19="Benefit",(E11-$E$227)/($E$226-$E$227),($E$226-E11)/($E$226-$E$227)),1)</f>
        <v/>
      </c>
      <c r="K11" s="35">
        <f>IFERROR(IF('03_ALTERNATIF'!$M$19="Benefit",(F11-$F$227)/($F$226-$F$227),($F$226-F11)/($F$226-$F$227)),1)</f>
        <v/>
      </c>
      <c r="L11" s="35">
        <f>IFERROR(IF('03_ALTERNATIF'!$N$19="Benefit",(G11-$G$227)/($G$226-$G$227),($G$226-G11)/($G$226-$G$227)),1)</f>
        <v/>
      </c>
      <c r="M11" s="40">
        <f>SUMPRODUCT($H11:$L11,$H$228:$L$228)</f>
        <v/>
      </c>
      <c r="N11" s="10">
        <f>RANK.EQ($M11,$M$4:$M$224,0)</f>
        <v/>
      </c>
    </row>
    <row r="12" ht="15" customHeight="1">
      <c r="A12" s="10" t="inlineStr">
        <is>
          <t>JOB-1067</t>
        </is>
      </c>
      <c r="B12" s="6" t="inlineStr">
        <is>
          <t>SAT Tutor</t>
        </is>
      </c>
      <c r="C12" s="35" t="n">
        <v>1</v>
      </c>
      <c r="D12" s="35" t="n">
        <v>2</v>
      </c>
      <c r="E12" s="35" t="n">
        <v>0.8</v>
      </c>
      <c r="F12" s="35" t="n">
        <v>0.95</v>
      </c>
      <c r="G12" s="35" t="n">
        <v>0.0566</v>
      </c>
      <c r="H12" s="35">
        <f>IFERROR(IF('03_ALTERNATIF'!$J$19="Benefit",(C12-$C$227)/($C$226-$C$227),($C$226-C12)/($C$226-$C$227)),1)</f>
        <v/>
      </c>
      <c r="I12" s="35">
        <f>IFERROR(IF('03_ALTERNATIF'!$K$19="Benefit",(D12-$D$227)/($D$226-$D$227),($D$226-D12)/($D$226-$D$227)),1)</f>
        <v/>
      </c>
      <c r="J12" s="35">
        <f>IFERROR(IF('03_ALTERNATIF'!$L$19="Benefit",(E12-$E$227)/($E$226-$E$227),($E$226-E12)/($E$226-$E$227)),1)</f>
        <v/>
      </c>
      <c r="K12" s="35">
        <f>IFERROR(IF('03_ALTERNATIF'!$M$19="Benefit",(F12-$F$227)/($F$226-$F$227),($F$226-F12)/($F$226-$F$227)),1)</f>
        <v/>
      </c>
      <c r="L12" s="35">
        <f>IFERROR(IF('03_ALTERNATIF'!$N$19="Benefit",(G12-$G$227)/($G$226-$G$227),($G$226-G12)/($G$226-$G$227)),1)</f>
        <v/>
      </c>
      <c r="M12" s="40">
        <f>SUMPRODUCT($H12:$L12,$H$228:$L$228)</f>
        <v/>
      </c>
      <c r="N12" s="10">
        <f>RANK.EQ($M12,$M$4:$M$224,0)</f>
        <v/>
      </c>
    </row>
    <row r="13" ht="15" customHeight="1">
      <c r="A13" s="10" t="inlineStr">
        <is>
          <t>JOB-1323</t>
        </is>
      </c>
      <c r="B13" s="6" t="inlineStr">
        <is>
          <t>Sales Force</t>
        </is>
      </c>
      <c r="C13" s="35" t="n">
        <v>1</v>
      </c>
      <c r="D13" s="35" t="n">
        <v>2</v>
      </c>
      <c r="E13" s="35" t="n">
        <v>0.8</v>
      </c>
      <c r="F13" s="35" t="n">
        <v>0.95</v>
      </c>
      <c r="G13" s="35" t="n">
        <v>0.0566</v>
      </c>
      <c r="H13" s="35">
        <f>IFERROR(IF('03_ALTERNATIF'!$J$19="Benefit",(C13-$C$227)/($C$226-$C$227),($C$226-C13)/($C$226-$C$227)),1)</f>
        <v/>
      </c>
      <c r="I13" s="35">
        <f>IFERROR(IF('03_ALTERNATIF'!$K$19="Benefit",(D13-$D$227)/($D$226-$D$227),($D$226-D13)/($D$226-$D$227)),1)</f>
        <v/>
      </c>
      <c r="J13" s="35">
        <f>IFERROR(IF('03_ALTERNATIF'!$L$19="Benefit",(E13-$E$227)/($E$226-$E$227),($E$226-E13)/($E$226-$E$227)),1)</f>
        <v/>
      </c>
      <c r="K13" s="35">
        <f>IFERROR(IF('03_ALTERNATIF'!$M$19="Benefit",(F13-$F$227)/($F$226-$F$227),($F$226-F13)/($F$226-$F$227)),1)</f>
        <v/>
      </c>
      <c r="L13" s="35">
        <f>IFERROR(IF('03_ALTERNATIF'!$N$19="Benefit",(G13-$G$227)/($G$226-$G$227),($G$226-G13)/($G$226-$G$227)),1)</f>
        <v/>
      </c>
      <c r="M13" s="40">
        <f>SUMPRODUCT($H13:$L13,$H$228:$L$228)</f>
        <v/>
      </c>
      <c r="N13" s="10">
        <f>RANK.EQ($M13,$M$4:$M$224,0)</f>
        <v/>
      </c>
    </row>
    <row r="14" ht="15" customHeight="1">
      <c r="A14" s="10" t="inlineStr">
        <is>
          <t>JOB-1194</t>
        </is>
      </c>
      <c r="B14" s="6" t="inlineStr">
        <is>
          <t>[Part-time] - Pengajar Bahasa Inggris - Jakarta Barat</t>
        </is>
      </c>
      <c r="C14" s="35" t="n">
        <v>1</v>
      </c>
      <c r="D14" s="35" t="n">
        <v>2</v>
      </c>
      <c r="E14" s="35" t="n">
        <v>0.8</v>
      </c>
      <c r="F14" s="35" t="n">
        <v>0.85</v>
      </c>
      <c r="G14" s="35" t="n">
        <v>0.288</v>
      </c>
      <c r="H14" s="35">
        <f>IFERROR(IF('03_ALTERNATIF'!$J$19="Benefit",(C14-$C$227)/($C$226-$C$227),($C$226-C14)/($C$226-$C$227)),1)</f>
        <v/>
      </c>
      <c r="I14" s="35">
        <f>IFERROR(IF('03_ALTERNATIF'!$K$19="Benefit",(D14-$D$227)/($D$226-$D$227),($D$226-D14)/($D$226-$D$227)),1)</f>
        <v/>
      </c>
      <c r="J14" s="35">
        <f>IFERROR(IF('03_ALTERNATIF'!$L$19="Benefit",(E14-$E$227)/($E$226-$E$227),($E$226-E14)/($E$226-$E$227)),1)</f>
        <v/>
      </c>
      <c r="K14" s="35">
        <f>IFERROR(IF('03_ALTERNATIF'!$M$19="Benefit",(F14-$F$227)/($F$226-$F$227),($F$226-F14)/($F$226-$F$227)),1)</f>
        <v/>
      </c>
      <c r="L14" s="35">
        <f>IFERROR(IF('03_ALTERNATIF'!$N$19="Benefit",(G14-$G$227)/($G$226-$G$227),($G$226-G14)/($G$226-$G$227)),1)</f>
        <v/>
      </c>
      <c r="M14" s="40">
        <f>SUMPRODUCT($H14:$L14,$H$228:$L$228)</f>
        <v/>
      </c>
      <c r="N14" s="10">
        <f>RANK.EQ($M14,$M$4:$M$224,0)</f>
        <v/>
      </c>
    </row>
    <row r="15" ht="15" customHeight="1">
      <c r="A15" s="10" t="inlineStr">
        <is>
          <t>JOB-1106</t>
        </is>
      </c>
      <c r="B15" s="6" t="inlineStr">
        <is>
          <t>Guru Sekolah Dasar</t>
        </is>
      </c>
      <c r="C15" s="35" t="n">
        <v>1</v>
      </c>
      <c r="D15" s="35" t="n">
        <v>1.8095</v>
      </c>
      <c r="E15" s="35" t="n">
        <v>0.8</v>
      </c>
      <c r="F15" s="35" t="n">
        <v>0.95</v>
      </c>
      <c r="G15" s="35" t="n">
        <v>0.288</v>
      </c>
      <c r="H15" s="35">
        <f>IFERROR(IF('03_ALTERNATIF'!$J$19="Benefit",(C15-$C$227)/($C$226-$C$227),($C$226-C15)/($C$226-$C$227)),1)</f>
        <v/>
      </c>
      <c r="I15" s="35">
        <f>IFERROR(IF('03_ALTERNATIF'!$K$19="Benefit",(D15-$D$227)/($D$226-$D$227),($D$226-D15)/($D$226-$D$227)),1)</f>
        <v/>
      </c>
      <c r="J15" s="35">
        <f>IFERROR(IF('03_ALTERNATIF'!$L$19="Benefit",(E15-$E$227)/($E$226-$E$227),($E$226-E15)/($E$226-$E$227)),1)</f>
        <v/>
      </c>
      <c r="K15" s="35">
        <f>IFERROR(IF('03_ALTERNATIF'!$M$19="Benefit",(F15-$F$227)/($F$226-$F$227),($F$226-F15)/($F$226-$F$227)),1)</f>
        <v/>
      </c>
      <c r="L15" s="35">
        <f>IFERROR(IF('03_ALTERNATIF'!$N$19="Benefit",(G15-$G$227)/($G$226-$G$227),($G$226-G15)/($G$226-$G$227)),1)</f>
        <v/>
      </c>
      <c r="M15" s="40">
        <f>SUMPRODUCT($H15:$L15,$H$228:$L$228)</f>
        <v/>
      </c>
      <c r="N15" s="10">
        <f>RANK.EQ($M15,$M$4:$M$224,0)</f>
        <v/>
      </c>
    </row>
    <row r="16" ht="15" customHeight="1">
      <c r="A16" s="10" t="inlineStr">
        <is>
          <t>JOB-1094</t>
        </is>
      </c>
      <c r="B16" s="6" t="inlineStr">
        <is>
          <t>SALES IT B2B (PART TIME)</t>
        </is>
      </c>
      <c r="C16" s="35" t="n">
        <v>1</v>
      </c>
      <c r="D16" s="35" t="n">
        <v>1.6667</v>
      </c>
      <c r="E16" s="35" t="n">
        <v>1</v>
      </c>
      <c r="F16" s="35" t="n">
        <v>0.95</v>
      </c>
      <c r="G16" s="35" t="n">
        <v>0.0639</v>
      </c>
      <c r="H16" s="35">
        <f>IFERROR(IF('03_ALTERNATIF'!$J$19="Benefit",(C16-$C$227)/($C$226-$C$227),($C$226-C16)/($C$226-$C$227)),1)</f>
        <v/>
      </c>
      <c r="I16" s="35">
        <f>IFERROR(IF('03_ALTERNATIF'!$K$19="Benefit",(D16-$D$227)/($D$226-$D$227),($D$226-D16)/($D$226-$D$227)),1)</f>
        <v/>
      </c>
      <c r="J16" s="35">
        <f>IFERROR(IF('03_ALTERNATIF'!$L$19="Benefit",(E16-$E$227)/($E$226-$E$227),($E$226-E16)/($E$226-$E$227)),1)</f>
        <v/>
      </c>
      <c r="K16" s="35">
        <f>IFERROR(IF('03_ALTERNATIF'!$M$19="Benefit",(F16-$F$227)/($F$226-$F$227),($F$226-F16)/($F$226-$F$227)),1)</f>
        <v/>
      </c>
      <c r="L16" s="35">
        <f>IFERROR(IF('03_ALTERNATIF'!$N$19="Benefit",(G16-$G$227)/($G$226-$G$227),($G$226-G16)/($G$226-$G$227)),1)</f>
        <v/>
      </c>
      <c r="M16" s="40">
        <f>SUMPRODUCT($H16:$L16,$H$228:$L$228)</f>
        <v/>
      </c>
      <c r="N16" s="10">
        <f>RANK.EQ($M16,$M$4:$M$224,0)</f>
        <v/>
      </c>
    </row>
    <row r="17" ht="15" customHeight="1">
      <c r="A17" s="10" t="inlineStr">
        <is>
          <t>JOB-1259</t>
        </is>
      </c>
      <c r="B17" s="6" t="inlineStr">
        <is>
          <t>Remote Online English Teacher | Indonesia</t>
        </is>
      </c>
      <c r="C17" s="35" t="n">
        <v>1</v>
      </c>
      <c r="D17" s="35" t="n">
        <v>1.6667</v>
      </c>
      <c r="E17" s="35" t="n">
        <v>1</v>
      </c>
      <c r="F17" s="35" t="n">
        <v>0.95</v>
      </c>
      <c r="G17" s="35" t="n">
        <v>0.0566</v>
      </c>
      <c r="H17" s="35">
        <f>IFERROR(IF('03_ALTERNATIF'!$J$19="Benefit",(C17-$C$227)/($C$226-$C$227),($C$226-C17)/($C$226-$C$227)),1)</f>
        <v/>
      </c>
      <c r="I17" s="35">
        <f>IFERROR(IF('03_ALTERNATIF'!$K$19="Benefit",(D17-$D$227)/($D$226-$D$227),($D$226-D17)/($D$226-$D$227)),1)</f>
        <v/>
      </c>
      <c r="J17" s="35">
        <f>IFERROR(IF('03_ALTERNATIF'!$L$19="Benefit",(E17-$E$227)/($E$226-$E$227),($E$226-E17)/($E$226-$E$227)),1)</f>
        <v/>
      </c>
      <c r="K17" s="35">
        <f>IFERROR(IF('03_ALTERNATIF'!$M$19="Benefit",(F17-$F$227)/($F$226-$F$227),($F$226-F17)/($F$226-$F$227)),1)</f>
        <v/>
      </c>
      <c r="L17" s="35">
        <f>IFERROR(IF('03_ALTERNATIF'!$N$19="Benefit",(G17-$G$227)/($G$226-$G$227),($G$226-G17)/($G$226-$G$227)),1)</f>
        <v/>
      </c>
      <c r="M17" s="40">
        <f>SUMPRODUCT($H17:$L17,$H$228:$L$228)</f>
        <v/>
      </c>
      <c r="N17" s="10">
        <f>RANK.EQ($M17,$M$4:$M$224,0)</f>
        <v/>
      </c>
    </row>
    <row r="18" ht="15" customHeight="1">
      <c r="A18" s="10" t="inlineStr">
        <is>
          <t>JOB-1122</t>
        </is>
      </c>
      <c r="B18" s="6" t="inlineStr">
        <is>
          <t>🌐 Sales Canvassing - Internet Rakyat (Jakarta Utara)</t>
        </is>
      </c>
      <c r="C18" s="35" t="n">
        <v>1</v>
      </c>
      <c r="D18" s="35" t="n">
        <v>1.6667</v>
      </c>
      <c r="E18" s="35" t="n">
        <v>1</v>
      </c>
      <c r="F18" s="35" t="n">
        <v>0.95</v>
      </c>
      <c r="G18" s="35" t="n">
        <v>0.0566</v>
      </c>
      <c r="H18" s="35">
        <f>IFERROR(IF('03_ALTERNATIF'!$J$19="Benefit",(C18-$C$227)/($C$226-$C$227),($C$226-C18)/($C$226-$C$227)),1)</f>
        <v/>
      </c>
      <c r="I18" s="35">
        <f>IFERROR(IF('03_ALTERNATIF'!$K$19="Benefit",(D18-$D$227)/($D$226-$D$227),($D$226-D18)/($D$226-$D$227)),1)</f>
        <v/>
      </c>
      <c r="J18" s="35">
        <f>IFERROR(IF('03_ALTERNATIF'!$L$19="Benefit",(E18-$E$227)/($E$226-$E$227),($E$226-E18)/($E$226-$E$227)),1)</f>
        <v/>
      </c>
      <c r="K18" s="35">
        <f>IFERROR(IF('03_ALTERNATIF'!$M$19="Benefit",(F18-$F$227)/($F$226-$F$227),($F$226-F18)/($F$226-$F$227)),1)</f>
        <v/>
      </c>
      <c r="L18" s="35">
        <f>IFERROR(IF('03_ALTERNATIF'!$N$19="Benefit",(G18-$G$227)/($G$226-$G$227),($G$226-G18)/($G$226-$G$227)),1)</f>
        <v/>
      </c>
      <c r="M18" s="40">
        <f>SUMPRODUCT($H18:$L18,$H$228:$L$228)</f>
        <v/>
      </c>
      <c r="N18" s="10">
        <f>RANK.EQ($M18,$M$4:$M$224,0)</f>
        <v/>
      </c>
    </row>
    <row r="19" ht="15" customHeight="1">
      <c r="A19" s="10" t="inlineStr">
        <is>
          <t>JOB-1141</t>
        </is>
      </c>
      <c r="B19" s="6" t="inlineStr">
        <is>
          <t>Tenaga Pengajar IT</t>
        </is>
      </c>
      <c r="C19" s="35" t="n">
        <v>1</v>
      </c>
      <c r="D19" s="35" t="n">
        <v>1.6667</v>
      </c>
      <c r="E19" s="35" t="n">
        <v>0.8</v>
      </c>
      <c r="F19" s="35" t="n">
        <v>0.95</v>
      </c>
      <c r="G19" s="35" t="n">
        <v>0.7528</v>
      </c>
      <c r="H19" s="35">
        <f>IFERROR(IF('03_ALTERNATIF'!$J$19="Benefit",(C19-$C$227)/($C$226-$C$227),($C$226-C19)/($C$226-$C$227)),1)</f>
        <v/>
      </c>
      <c r="I19" s="35">
        <f>IFERROR(IF('03_ALTERNATIF'!$K$19="Benefit",(D19-$D$227)/($D$226-$D$227),($D$226-D19)/($D$226-$D$227)),1)</f>
        <v/>
      </c>
      <c r="J19" s="35">
        <f>IFERROR(IF('03_ALTERNATIF'!$L$19="Benefit",(E19-$E$227)/($E$226-$E$227),($E$226-E19)/($E$226-$E$227)),1)</f>
        <v/>
      </c>
      <c r="K19" s="35">
        <f>IFERROR(IF('03_ALTERNATIF'!$M$19="Benefit",(F19-$F$227)/($F$226-$F$227),($F$226-F19)/($F$226-$F$227)),1)</f>
        <v/>
      </c>
      <c r="L19" s="35">
        <f>IFERROR(IF('03_ALTERNATIF'!$N$19="Benefit",(G19-$G$227)/($G$226-$G$227),($G$226-G19)/($G$226-$G$227)),1)</f>
        <v/>
      </c>
      <c r="M19" s="40">
        <f>SUMPRODUCT($H19:$L19,$H$228:$L$228)</f>
        <v/>
      </c>
      <c r="N19" s="10">
        <f>RANK.EQ($M19,$M$4:$M$224,0)</f>
        <v/>
      </c>
    </row>
    <row r="20" ht="15" customHeight="1">
      <c r="A20" s="10" t="inlineStr">
        <is>
          <t>JOB-1152</t>
        </is>
      </c>
      <c r="B20" s="6" t="inlineStr">
        <is>
          <t>GURU BAHASA INGGRIS - JAKARTA SELATAN &amp; SEKITARNYA</t>
        </is>
      </c>
      <c r="C20" s="35" t="n">
        <v>1</v>
      </c>
      <c r="D20" s="35" t="n">
        <v>1.6667</v>
      </c>
      <c r="E20" s="35" t="n">
        <v>0.8</v>
      </c>
      <c r="F20" s="35" t="n">
        <v>0.95</v>
      </c>
      <c r="G20" s="35" t="n">
        <v>0.288</v>
      </c>
      <c r="H20" s="35">
        <f>IFERROR(IF('03_ALTERNATIF'!$J$19="Benefit",(C20-$C$227)/($C$226-$C$227),($C$226-C20)/($C$226-$C$227)),1)</f>
        <v/>
      </c>
      <c r="I20" s="35">
        <f>IFERROR(IF('03_ALTERNATIF'!$K$19="Benefit",(D20-$D$227)/($D$226-$D$227),($D$226-D20)/($D$226-$D$227)),1)</f>
        <v/>
      </c>
      <c r="J20" s="35">
        <f>IFERROR(IF('03_ALTERNATIF'!$L$19="Benefit",(E20-$E$227)/($E$226-$E$227),($E$226-E20)/($E$226-$E$227)),1)</f>
        <v/>
      </c>
      <c r="K20" s="35">
        <f>IFERROR(IF('03_ALTERNATIF'!$M$19="Benefit",(F20-$F$227)/($F$226-$F$227),($F$226-F20)/($F$226-$F$227)),1)</f>
        <v/>
      </c>
      <c r="L20" s="35">
        <f>IFERROR(IF('03_ALTERNATIF'!$N$19="Benefit",(G20-$G$227)/($G$226-$G$227),($G$226-G20)/($G$226-$G$227)),1)</f>
        <v/>
      </c>
      <c r="M20" s="40">
        <f>SUMPRODUCT($H20:$L20,$H$228:$L$228)</f>
        <v/>
      </c>
      <c r="N20" s="10">
        <f>RANK.EQ($M20,$M$4:$M$224,0)</f>
        <v/>
      </c>
    </row>
    <row r="21" ht="15" customHeight="1">
      <c r="A21" s="10" t="inlineStr">
        <is>
          <t>JOB-1324</t>
        </is>
      </c>
      <c r="B21" s="6" t="inlineStr">
        <is>
          <t>Guru Rumah Tahfidz</t>
        </is>
      </c>
      <c r="C21" s="35" t="n">
        <v>1</v>
      </c>
      <c r="D21" s="35" t="n">
        <v>1.6667</v>
      </c>
      <c r="E21" s="35" t="n">
        <v>0.8</v>
      </c>
      <c r="F21" s="35" t="n">
        <v>0.95</v>
      </c>
      <c r="G21" s="35" t="n">
        <v>0.288</v>
      </c>
      <c r="H21" s="35">
        <f>IFERROR(IF('03_ALTERNATIF'!$J$19="Benefit",(C21-$C$227)/($C$226-$C$227),($C$226-C21)/($C$226-$C$227)),1)</f>
        <v/>
      </c>
      <c r="I21" s="35">
        <f>IFERROR(IF('03_ALTERNATIF'!$K$19="Benefit",(D21-$D$227)/($D$226-$D$227),($D$226-D21)/($D$226-$D$227)),1)</f>
        <v/>
      </c>
      <c r="J21" s="35">
        <f>IFERROR(IF('03_ALTERNATIF'!$L$19="Benefit",(E21-$E$227)/($E$226-$E$227),($E$226-E21)/($E$226-$E$227)),1)</f>
        <v/>
      </c>
      <c r="K21" s="35">
        <f>IFERROR(IF('03_ALTERNATIF'!$M$19="Benefit",(F21-$F$227)/($F$226-$F$227),($F$226-F21)/($F$226-$F$227)),1)</f>
        <v/>
      </c>
      <c r="L21" s="35">
        <f>IFERROR(IF('03_ALTERNATIF'!$N$19="Benefit",(G21-$G$227)/($G$226-$G$227),($G$226-G21)/($G$226-$G$227)),1)</f>
        <v/>
      </c>
      <c r="M21" s="40">
        <f>SUMPRODUCT($H21:$L21,$H$228:$L$228)</f>
        <v/>
      </c>
      <c r="N21" s="10">
        <f>RANK.EQ($M21,$M$4:$M$224,0)</f>
        <v/>
      </c>
    </row>
    <row r="22" ht="15" customHeight="1">
      <c r="A22" s="10" t="inlineStr">
        <is>
          <t>JOB-1342</t>
        </is>
      </c>
      <c r="B22" s="6" t="inlineStr">
        <is>
          <t>Dosen DIII Fisioterapi</t>
        </is>
      </c>
      <c r="C22" s="35" t="n">
        <v>1</v>
      </c>
      <c r="D22" s="35" t="n">
        <v>1.6667</v>
      </c>
      <c r="E22" s="35" t="n">
        <v>0.8</v>
      </c>
      <c r="F22" s="35" t="n">
        <v>0.95</v>
      </c>
      <c r="G22" s="35" t="n">
        <v>0.288</v>
      </c>
      <c r="H22" s="35">
        <f>IFERROR(IF('03_ALTERNATIF'!$J$19="Benefit",(C22-$C$227)/($C$226-$C$227),($C$226-C22)/($C$226-$C$227)),1)</f>
        <v/>
      </c>
      <c r="I22" s="35">
        <f>IFERROR(IF('03_ALTERNATIF'!$K$19="Benefit",(D22-$D$227)/($D$226-$D$227),($D$226-D22)/($D$226-$D$227)),1)</f>
        <v/>
      </c>
      <c r="J22" s="35">
        <f>IFERROR(IF('03_ALTERNATIF'!$L$19="Benefit",(E22-$E$227)/($E$226-$E$227),($E$226-E22)/($E$226-$E$227)),1)</f>
        <v/>
      </c>
      <c r="K22" s="35">
        <f>IFERROR(IF('03_ALTERNATIF'!$M$19="Benefit",(F22-$F$227)/($F$226-$F$227),($F$226-F22)/($F$226-$F$227)),1)</f>
        <v/>
      </c>
      <c r="L22" s="35">
        <f>IFERROR(IF('03_ALTERNATIF'!$N$19="Benefit",(G22-$G$227)/($G$226-$G$227),($G$226-G22)/($G$226-$G$227)),1)</f>
        <v/>
      </c>
      <c r="M22" s="40">
        <f>SUMPRODUCT($H22:$L22,$H$228:$L$228)</f>
        <v/>
      </c>
      <c r="N22" s="10">
        <f>RANK.EQ($M22,$M$4:$M$224,0)</f>
        <v/>
      </c>
    </row>
    <row r="23" ht="15" customHeight="1">
      <c r="A23" s="10" t="inlineStr">
        <is>
          <t>JOB-1103</t>
        </is>
      </c>
      <c r="B23" s="6" t="inlineStr">
        <is>
          <t>Sales Marketing (Masih Kuliah akan diprioritaskan)</t>
        </is>
      </c>
      <c r="C23" s="35" t="n">
        <v>1</v>
      </c>
      <c r="D23" s="35" t="n">
        <v>1.6667</v>
      </c>
      <c r="E23" s="35" t="n">
        <v>0.8</v>
      </c>
      <c r="F23" s="35" t="n">
        <v>0.95</v>
      </c>
      <c r="G23" s="35" t="n">
        <v>0.288</v>
      </c>
      <c r="H23" s="35">
        <f>IFERROR(IF('03_ALTERNATIF'!$J$19="Benefit",(C23-$C$227)/($C$226-$C$227),($C$226-C23)/($C$226-$C$227)),1)</f>
        <v/>
      </c>
      <c r="I23" s="35">
        <f>IFERROR(IF('03_ALTERNATIF'!$K$19="Benefit",(D23-$D$227)/($D$226-$D$227),($D$226-D23)/($D$226-$D$227)),1)</f>
        <v/>
      </c>
      <c r="J23" s="35">
        <f>IFERROR(IF('03_ALTERNATIF'!$L$19="Benefit",(E23-$E$227)/($E$226-$E$227),($E$226-E23)/($E$226-$E$227)),1)</f>
        <v/>
      </c>
      <c r="K23" s="35">
        <f>IFERROR(IF('03_ALTERNATIF'!$M$19="Benefit",(F23-$F$227)/($F$226-$F$227),($F$226-F23)/($F$226-$F$227)),1)</f>
        <v/>
      </c>
      <c r="L23" s="35">
        <f>IFERROR(IF('03_ALTERNATIF'!$N$19="Benefit",(G23-$G$227)/($G$226-$G$227),($G$226-G23)/($G$226-$G$227)),1)</f>
        <v/>
      </c>
      <c r="M23" s="40">
        <f>SUMPRODUCT($H23:$L23,$H$228:$L$228)</f>
        <v/>
      </c>
      <c r="N23" s="10">
        <f>RANK.EQ($M23,$M$4:$M$224,0)</f>
        <v/>
      </c>
    </row>
    <row r="24" ht="15" customHeight="1">
      <c r="A24" s="10" t="inlineStr">
        <is>
          <t>JOB-1160</t>
        </is>
      </c>
      <c r="B24" s="6" t="inlineStr">
        <is>
          <t>German Tutor (Part-time / Evening Class – Remote)</t>
        </is>
      </c>
      <c r="C24" s="35" t="n">
        <v>1</v>
      </c>
      <c r="D24" s="35" t="n">
        <v>1.8095</v>
      </c>
      <c r="E24" s="35" t="n">
        <v>1</v>
      </c>
      <c r="F24" s="35" t="n">
        <v>0.55</v>
      </c>
      <c r="G24" s="35" t="n">
        <v>0.0566</v>
      </c>
      <c r="H24" s="35">
        <f>IFERROR(IF('03_ALTERNATIF'!$J$19="Benefit",(C24-$C$227)/($C$226-$C$227),($C$226-C24)/($C$226-$C$227)),1)</f>
        <v/>
      </c>
      <c r="I24" s="35">
        <f>IFERROR(IF('03_ALTERNATIF'!$K$19="Benefit",(D24-$D$227)/($D$226-$D$227),($D$226-D24)/($D$226-$D$227)),1)</f>
        <v/>
      </c>
      <c r="J24" s="35">
        <f>IFERROR(IF('03_ALTERNATIF'!$L$19="Benefit",(E24-$E$227)/($E$226-$E$227),($E$226-E24)/($E$226-$E$227)),1)</f>
        <v/>
      </c>
      <c r="K24" s="35">
        <f>IFERROR(IF('03_ALTERNATIF'!$M$19="Benefit",(F24-$F$227)/($F$226-$F$227),($F$226-F24)/($F$226-$F$227)),1)</f>
        <v/>
      </c>
      <c r="L24" s="35">
        <f>IFERROR(IF('03_ALTERNATIF'!$N$19="Benefit",(G24-$G$227)/($G$226-$G$227),($G$226-G24)/($G$226-$G$227)),1)</f>
        <v/>
      </c>
      <c r="M24" s="40">
        <f>SUMPRODUCT($H24:$L24,$H$228:$L$228)</f>
        <v/>
      </c>
      <c r="N24" s="10">
        <f>RANK.EQ($M24,$M$4:$M$224,0)</f>
        <v/>
      </c>
    </row>
    <row r="25" ht="15" customHeight="1">
      <c r="A25" s="10" t="inlineStr">
        <is>
          <t>JOB-1102</t>
        </is>
      </c>
      <c r="B25" s="6" t="inlineStr">
        <is>
          <t>[Part-time] Preschool Teacher - Depok - Margonda</t>
        </is>
      </c>
      <c r="C25" s="35" t="n">
        <v>1</v>
      </c>
      <c r="D25" s="35" t="n">
        <v>2</v>
      </c>
      <c r="E25" s="35" t="n">
        <v>0.4</v>
      </c>
      <c r="F25" s="35" t="n">
        <v>0.95</v>
      </c>
      <c r="G25" s="35" t="n">
        <v>0.0639</v>
      </c>
      <c r="H25" s="35">
        <f>IFERROR(IF('03_ALTERNATIF'!$J$19="Benefit",(C25-$C$227)/($C$226-$C$227),($C$226-C25)/($C$226-$C$227)),1)</f>
        <v/>
      </c>
      <c r="I25" s="35">
        <f>IFERROR(IF('03_ALTERNATIF'!$K$19="Benefit",(D25-$D$227)/($D$226-$D$227),($D$226-D25)/($D$226-$D$227)),1)</f>
        <v/>
      </c>
      <c r="J25" s="35">
        <f>IFERROR(IF('03_ALTERNATIF'!$L$19="Benefit",(E25-$E$227)/($E$226-$E$227),($E$226-E25)/($E$226-$E$227)),1)</f>
        <v/>
      </c>
      <c r="K25" s="35">
        <f>IFERROR(IF('03_ALTERNATIF'!$M$19="Benefit",(F25-$F$227)/($F$226-$F$227),($F$226-F25)/($F$226-$F$227)),1)</f>
        <v/>
      </c>
      <c r="L25" s="35">
        <f>IFERROR(IF('03_ALTERNATIF'!$N$19="Benefit",(G25-$G$227)/($G$226-$G$227),($G$226-G25)/($G$226-$G$227)),1)</f>
        <v/>
      </c>
      <c r="M25" s="40">
        <f>SUMPRODUCT($H25:$L25,$H$228:$L$228)</f>
        <v/>
      </c>
      <c r="N25" s="10">
        <f>RANK.EQ($M25,$M$4:$M$224,0)</f>
        <v/>
      </c>
    </row>
    <row r="26" ht="15" customHeight="1">
      <c r="A26" s="10" t="inlineStr">
        <is>
          <t>JOB-1216</t>
        </is>
      </c>
      <c r="B26" s="6" t="inlineStr">
        <is>
          <t>[Part time] Guru Informatika - Kota Depok</t>
        </is>
      </c>
      <c r="C26" s="35" t="n">
        <v>1</v>
      </c>
      <c r="D26" s="35" t="n">
        <v>2</v>
      </c>
      <c r="E26" s="35" t="n">
        <v>0.4</v>
      </c>
      <c r="F26" s="35" t="n">
        <v>0.95</v>
      </c>
      <c r="G26" s="35" t="n">
        <v>0.0566</v>
      </c>
      <c r="H26" s="35">
        <f>IFERROR(IF('03_ALTERNATIF'!$J$19="Benefit",(C26-$C$227)/($C$226-$C$227),($C$226-C26)/($C$226-$C$227)),1)</f>
        <v/>
      </c>
      <c r="I26" s="35">
        <f>IFERROR(IF('03_ALTERNATIF'!$K$19="Benefit",(D26-$D$227)/($D$226-$D$227),($D$226-D26)/($D$226-$D$227)),1)</f>
        <v/>
      </c>
      <c r="J26" s="35">
        <f>IFERROR(IF('03_ALTERNATIF'!$L$19="Benefit",(E26-$E$227)/($E$226-$E$227),($E$226-E26)/($E$226-$E$227)),1)</f>
        <v/>
      </c>
      <c r="K26" s="35">
        <f>IFERROR(IF('03_ALTERNATIF'!$M$19="Benefit",(F26-$F$227)/($F$226-$F$227),($F$226-F26)/($F$226-$F$227)),1)</f>
        <v/>
      </c>
      <c r="L26" s="35">
        <f>IFERROR(IF('03_ALTERNATIF'!$N$19="Benefit",(G26-$G$227)/($G$226-$G$227),($G$226-G26)/($G$226-$G$227)),1)</f>
        <v/>
      </c>
      <c r="M26" s="40">
        <f>SUMPRODUCT($H26:$L26,$H$228:$L$228)</f>
        <v/>
      </c>
      <c r="N26" s="10">
        <f>RANK.EQ($M26,$M$4:$M$224,0)</f>
        <v/>
      </c>
    </row>
    <row r="27" ht="15" customHeight="1">
      <c r="A27" s="10" t="inlineStr">
        <is>
          <t>JOB-1325</t>
        </is>
      </c>
      <c r="B27" s="6" t="inlineStr">
        <is>
          <t>Pelatih Olimpiade Sains</t>
        </is>
      </c>
      <c r="C27" s="35" t="n">
        <v>1</v>
      </c>
      <c r="D27" s="35" t="n">
        <v>1.6667</v>
      </c>
      <c r="E27" s="35" t="n">
        <v>0.8</v>
      </c>
      <c r="F27" s="35" t="n">
        <v>0.95</v>
      </c>
      <c r="G27" s="35" t="n">
        <v>0.0566</v>
      </c>
      <c r="H27" s="35">
        <f>IFERROR(IF('03_ALTERNATIF'!$J$19="Benefit",(C27-$C$227)/($C$226-$C$227),($C$226-C27)/($C$226-$C$227)),1)</f>
        <v/>
      </c>
      <c r="I27" s="35">
        <f>IFERROR(IF('03_ALTERNATIF'!$K$19="Benefit",(D27-$D$227)/($D$226-$D$227),($D$226-D27)/($D$226-$D$227)),1)</f>
        <v/>
      </c>
      <c r="J27" s="35">
        <f>IFERROR(IF('03_ALTERNATIF'!$L$19="Benefit",(E27-$E$227)/($E$226-$E$227),($E$226-E27)/($E$226-$E$227)),1)</f>
        <v/>
      </c>
      <c r="K27" s="35">
        <f>IFERROR(IF('03_ALTERNATIF'!$M$19="Benefit",(F27-$F$227)/($F$226-$F$227),($F$226-F27)/($F$226-$F$227)),1)</f>
        <v/>
      </c>
      <c r="L27" s="35">
        <f>IFERROR(IF('03_ALTERNATIF'!$N$19="Benefit",(G27-$G$227)/($G$226-$G$227),($G$226-G27)/($G$226-$G$227)),1)</f>
        <v/>
      </c>
      <c r="M27" s="40">
        <f>SUMPRODUCT($H27:$L27,$H$228:$L$228)</f>
        <v/>
      </c>
      <c r="N27" s="10">
        <f>RANK.EQ($M27,$M$4:$M$224,0)</f>
        <v/>
      </c>
    </row>
    <row r="28" ht="15" customHeight="1">
      <c r="A28" s="10" t="inlineStr">
        <is>
          <t>JOB-1091</t>
        </is>
      </c>
      <c r="B28" s="6" t="inlineStr">
        <is>
          <t>[Part-time] - Pengajar Bahasa Inggris - Jakarta Pusat</t>
        </is>
      </c>
      <c r="C28" s="35" t="n">
        <v>1</v>
      </c>
      <c r="D28" s="35" t="n">
        <v>1.6667</v>
      </c>
      <c r="E28" s="35" t="n">
        <v>0.8</v>
      </c>
      <c r="F28" s="35" t="n">
        <v>0.85</v>
      </c>
      <c r="G28" s="35" t="n">
        <v>0.329</v>
      </c>
      <c r="H28" s="35">
        <f>IFERROR(IF('03_ALTERNATIF'!$J$19="Benefit",(C28-$C$227)/($C$226-$C$227),($C$226-C28)/($C$226-$C$227)),1)</f>
        <v/>
      </c>
      <c r="I28" s="35">
        <f>IFERROR(IF('03_ALTERNATIF'!$K$19="Benefit",(D28-$D$227)/($D$226-$D$227),($D$226-D28)/($D$226-$D$227)),1)</f>
        <v/>
      </c>
      <c r="J28" s="35">
        <f>IFERROR(IF('03_ALTERNATIF'!$L$19="Benefit",(E28-$E$227)/($E$226-$E$227),($E$226-E28)/($E$226-$E$227)),1)</f>
        <v/>
      </c>
      <c r="K28" s="35">
        <f>IFERROR(IF('03_ALTERNATIF'!$M$19="Benefit",(F28-$F$227)/($F$226-$F$227),($F$226-F28)/($F$226-$F$227)),1)</f>
        <v/>
      </c>
      <c r="L28" s="35">
        <f>IFERROR(IF('03_ALTERNATIF'!$N$19="Benefit",(G28-$G$227)/($G$226-$G$227),($G$226-G28)/($G$226-$G$227)),1)</f>
        <v/>
      </c>
      <c r="M28" s="40">
        <f>SUMPRODUCT($H28:$L28,$H$228:$L$228)</f>
        <v/>
      </c>
      <c r="N28" s="10">
        <f>RANK.EQ($M28,$M$4:$M$224,0)</f>
        <v/>
      </c>
    </row>
    <row r="29" ht="15" customHeight="1">
      <c r="A29" s="10" t="inlineStr">
        <is>
          <t>JOB-1207</t>
        </is>
      </c>
      <c r="B29" s="6" t="inlineStr">
        <is>
          <t>Part-Time Teacher Programming (Weekend Only)</t>
        </is>
      </c>
      <c r="C29" s="35" t="n">
        <v>1</v>
      </c>
      <c r="D29" s="35" t="n">
        <v>2</v>
      </c>
      <c r="E29" s="35" t="n">
        <v>0.4</v>
      </c>
      <c r="F29" s="35" t="n">
        <v>0.85</v>
      </c>
      <c r="G29" s="35" t="n">
        <v>0.288</v>
      </c>
      <c r="H29" s="35">
        <f>IFERROR(IF('03_ALTERNATIF'!$J$19="Benefit",(C29-$C$227)/($C$226-$C$227),($C$226-C29)/($C$226-$C$227)),1)</f>
        <v/>
      </c>
      <c r="I29" s="35">
        <f>IFERROR(IF('03_ALTERNATIF'!$K$19="Benefit",(D29-$D$227)/($D$226-$D$227),($D$226-D29)/($D$226-$D$227)),1)</f>
        <v/>
      </c>
      <c r="J29" s="35">
        <f>IFERROR(IF('03_ALTERNATIF'!$L$19="Benefit",(E29-$E$227)/($E$226-$E$227),($E$226-E29)/($E$226-$E$227)),1)</f>
        <v/>
      </c>
      <c r="K29" s="35">
        <f>IFERROR(IF('03_ALTERNATIF'!$M$19="Benefit",(F29-$F$227)/($F$226-$F$227),($F$226-F29)/($F$226-$F$227)),1)</f>
        <v/>
      </c>
      <c r="L29" s="35">
        <f>IFERROR(IF('03_ALTERNATIF'!$N$19="Benefit",(G29-$G$227)/($G$226-$G$227),($G$226-G29)/($G$226-$G$227)),1)</f>
        <v/>
      </c>
      <c r="M29" s="40">
        <f>SUMPRODUCT($H29:$L29,$H$228:$L$228)</f>
        <v/>
      </c>
      <c r="N29" s="10">
        <f>RANK.EQ($M29,$M$4:$M$224,0)</f>
        <v/>
      </c>
    </row>
    <row r="30" ht="15" customHeight="1">
      <c r="A30" s="10" t="inlineStr">
        <is>
          <t>JOB-1027</t>
        </is>
      </c>
      <c r="B30" s="6" t="inlineStr">
        <is>
          <t>English Teacher</t>
        </is>
      </c>
      <c r="C30" s="35" t="n">
        <v>1</v>
      </c>
      <c r="D30" s="35" t="n">
        <v>1.6667</v>
      </c>
      <c r="E30" s="35" t="n">
        <v>0.8</v>
      </c>
      <c r="F30" s="35" t="n">
        <v>0.85</v>
      </c>
      <c r="G30" s="35" t="n">
        <v>0.288</v>
      </c>
      <c r="H30" s="35">
        <f>IFERROR(IF('03_ALTERNATIF'!$J$19="Benefit",(C30-$C$227)/($C$226-$C$227),($C$226-C30)/($C$226-$C$227)),1)</f>
        <v/>
      </c>
      <c r="I30" s="35">
        <f>IFERROR(IF('03_ALTERNATIF'!$K$19="Benefit",(D30-$D$227)/($D$226-$D$227),($D$226-D30)/($D$226-$D$227)),1)</f>
        <v/>
      </c>
      <c r="J30" s="35">
        <f>IFERROR(IF('03_ALTERNATIF'!$L$19="Benefit",(E30-$E$227)/($E$226-$E$227),($E$226-E30)/($E$226-$E$227)),1)</f>
        <v/>
      </c>
      <c r="K30" s="35">
        <f>IFERROR(IF('03_ALTERNATIF'!$M$19="Benefit",(F30-$F$227)/($F$226-$F$227),($F$226-F30)/($F$226-$F$227)),1)</f>
        <v/>
      </c>
      <c r="L30" s="35">
        <f>IFERROR(IF('03_ALTERNATIF'!$N$19="Benefit",(G30-$G$227)/($G$226-$G$227),($G$226-G30)/($G$226-$G$227)),1)</f>
        <v/>
      </c>
      <c r="M30" s="40">
        <f>SUMPRODUCT($H30:$L30,$H$228:$L$228)</f>
        <v/>
      </c>
      <c r="N30" s="10">
        <f>RANK.EQ($M30,$M$4:$M$224,0)</f>
        <v/>
      </c>
    </row>
    <row r="31" ht="15" customHeight="1">
      <c r="A31" s="10" t="inlineStr">
        <is>
          <t>JOB-1040</t>
        </is>
      </c>
      <c r="B31" s="6" t="inlineStr">
        <is>
          <t>Part Time Guru Ekskul Board Game di sekolah daerah Pluit dan PIK</t>
        </is>
      </c>
      <c r="C31" s="35" t="n">
        <v>1</v>
      </c>
      <c r="D31" s="35" t="n">
        <v>1.4286</v>
      </c>
      <c r="E31" s="35" t="n">
        <v>1</v>
      </c>
      <c r="F31" s="35" t="n">
        <v>0.95</v>
      </c>
      <c r="G31" s="35" t="n">
        <v>0.288</v>
      </c>
      <c r="H31" s="35">
        <f>IFERROR(IF('03_ALTERNATIF'!$J$19="Benefit",(C31-$C$227)/($C$226-$C$227),($C$226-C31)/($C$226-$C$227)),1)</f>
        <v/>
      </c>
      <c r="I31" s="35">
        <f>IFERROR(IF('03_ALTERNATIF'!$K$19="Benefit",(D31-$D$227)/($D$226-$D$227),($D$226-D31)/($D$226-$D$227)),1)</f>
        <v/>
      </c>
      <c r="J31" s="35">
        <f>IFERROR(IF('03_ALTERNATIF'!$L$19="Benefit",(E31-$E$227)/($E$226-$E$227),($E$226-E31)/($E$226-$E$227)),1)</f>
        <v/>
      </c>
      <c r="K31" s="35">
        <f>IFERROR(IF('03_ALTERNATIF'!$M$19="Benefit",(F31-$F$227)/($F$226-$F$227),($F$226-F31)/($F$226-$F$227)),1)</f>
        <v/>
      </c>
      <c r="L31" s="35">
        <f>IFERROR(IF('03_ALTERNATIF'!$N$19="Benefit",(G31-$G$227)/($G$226-$G$227),($G$226-G31)/($G$226-$G$227)),1)</f>
        <v/>
      </c>
      <c r="M31" s="40">
        <f>SUMPRODUCT($H31:$L31,$H$228:$L$228)</f>
        <v/>
      </c>
      <c r="N31" s="10">
        <f>RANK.EQ($M31,$M$4:$M$224,0)</f>
        <v/>
      </c>
    </row>
    <row r="32" ht="15" customHeight="1">
      <c r="A32" s="10" t="inlineStr">
        <is>
          <t>JOB-1154</t>
        </is>
      </c>
      <c r="B32" s="6" t="inlineStr">
        <is>
          <t>Mandarin Tutor / Pengajar Bahasa Mandarin - Bogor (Part Time)</t>
        </is>
      </c>
      <c r="C32" s="35" t="n">
        <v>1</v>
      </c>
      <c r="D32" s="35" t="n">
        <v>1.9048</v>
      </c>
      <c r="E32" s="35" t="n">
        <v>0.4</v>
      </c>
      <c r="F32" s="35" t="n">
        <v>0.95</v>
      </c>
      <c r="G32" s="35" t="n">
        <v>0.329</v>
      </c>
      <c r="H32" s="35">
        <f>IFERROR(IF('03_ALTERNATIF'!$J$19="Benefit",(C32-$C$227)/($C$226-$C$227),($C$226-C32)/($C$226-$C$227)),1)</f>
        <v/>
      </c>
      <c r="I32" s="35">
        <f>IFERROR(IF('03_ALTERNATIF'!$K$19="Benefit",(D32-$D$227)/($D$226-$D$227),($D$226-D32)/($D$226-$D$227)),1)</f>
        <v/>
      </c>
      <c r="J32" s="35">
        <f>IFERROR(IF('03_ALTERNATIF'!$L$19="Benefit",(E32-$E$227)/($E$226-$E$227),($E$226-E32)/($E$226-$E$227)),1)</f>
        <v/>
      </c>
      <c r="K32" s="35">
        <f>IFERROR(IF('03_ALTERNATIF'!$M$19="Benefit",(F32-$F$227)/($F$226-$F$227),($F$226-F32)/($F$226-$F$227)),1)</f>
        <v/>
      </c>
      <c r="L32" s="35">
        <f>IFERROR(IF('03_ALTERNATIF'!$N$19="Benefit",(G32-$G$227)/($G$226-$G$227),($G$226-G32)/($G$226-$G$227)),1)</f>
        <v/>
      </c>
      <c r="M32" s="40">
        <f>SUMPRODUCT($H32:$L32,$H$228:$L$228)</f>
        <v/>
      </c>
      <c r="N32" s="10">
        <f>RANK.EQ($M32,$M$4:$M$224,0)</f>
        <v/>
      </c>
    </row>
    <row r="33" ht="15" customHeight="1">
      <c r="A33" s="10" t="inlineStr">
        <is>
          <t>JOB-1147</t>
        </is>
      </c>
      <c r="B33" s="6" t="inlineStr">
        <is>
          <t>Tutor Geografi (Inval)</t>
        </is>
      </c>
      <c r="C33" s="35" t="n">
        <v>1</v>
      </c>
      <c r="D33" s="35" t="n">
        <v>1.9048</v>
      </c>
      <c r="E33" s="35" t="n">
        <v>0.4</v>
      </c>
      <c r="F33" s="35" t="n">
        <v>0.95</v>
      </c>
      <c r="G33" s="35" t="n">
        <v>0.288</v>
      </c>
      <c r="H33" s="35">
        <f>IFERROR(IF('03_ALTERNATIF'!$J$19="Benefit",(C33-$C$227)/($C$226-$C$227),($C$226-C33)/($C$226-$C$227)),1)</f>
        <v/>
      </c>
      <c r="I33" s="35">
        <f>IFERROR(IF('03_ALTERNATIF'!$K$19="Benefit",(D33-$D$227)/($D$226-$D$227),($D$226-D33)/($D$226-$D$227)),1)</f>
        <v/>
      </c>
      <c r="J33" s="35">
        <f>IFERROR(IF('03_ALTERNATIF'!$L$19="Benefit",(E33-$E$227)/($E$226-$E$227),($E$226-E33)/($E$226-$E$227)),1)</f>
        <v/>
      </c>
      <c r="K33" s="35">
        <f>IFERROR(IF('03_ALTERNATIF'!$M$19="Benefit",(F33-$F$227)/($F$226-$F$227),($F$226-F33)/($F$226-$F$227)),1)</f>
        <v/>
      </c>
      <c r="L33" s="35">
        <f>IFERROR(IF('03_ALTERNATIF'!$N$19="Benefit",(G33-$G$227)/($G$226-$G$227),($G$226-G33)/($G$226-$G$227)),1)</f>
        <v/>
      </c>
      <c r="M33" s="40">
        <f>SUMPRODUCT($H33:$L33,$H$228:$L$228)</f>
        <v/>
      </c>
      <c r="N33" s="10">
        <f>RANK.EQ($M33,$M$4:$M$224,0)</f>
        <v/>
      </c>
    </row>
    <row r="34" ht="15" customHeight="1">
      <c r="A34" s="10" t="inlineStr">
        <is>
          <t>JOB-1213</t>
        </is>
      </c>
      <c r="B34" s="6" t="inlineStr">
        <is>
          <t>Chinese teacher</t>
        </is>
      </c>
      <c r="C34" s="35" t="n">
        <v>1</v>
      </c>
      <c r="D34" s="35" t="n">
        <v>1.9048</v>
      </c>
      <c r="E34" s="35" t="n">
        <v>0.4</v>
      </c>
      <c r="F34" s="35" t="n">
        <v>0.95</v>
      </c>
      <c r="G34" s="35" t="n">
        <v>0.0566</v>
      </c>
      <c r="H34" s="35">
        <f>IFERROR(IF('03_ALTERNATIF'!$J$19="Benefit",(C34-$C$227)/($C$226-$C$227),($C$226-C34)/($C$226-$C$227)),1)</f>
        <v/>
      </c>
      <c r="I34" s="35">
        <f>IFERROR(IF('03_ALTERNATIF'!$K$19="Benefit",(D34-$D$227)/($D$226-$D$227),($D$226-D34)/($D$226-$D$227)),1)</f>
        <v/>
      </c>
      <c r="J34" s="35">
        <f>IFERROR(IF('03_ALTERNATIF'!$L$19="Benefit",(E34-$E$227)/($E$226-$E$227),($E$226-E34)/($E$226-$E$227)),1)</f>
        <v/>
      </c>
      <c r="K34" s="35">
        <f>IFERROR(IF('03_ALTERNATIF'!$M$19="Benefit",(F34-$F$227)/($F$226-$F$227),($F$226-F34)/($F$226-$F$227)),1)</f>
        <v/>
      </c>
      <c r="L34" s="35">
        <f>IFERROR(IF('03_ALTERNATIF'!$N$19="Benefit",(G34-$G$227)/($G$226-$G$227),($G$226-G34)/($G$226-$G$227)),1)</f>
        <v/>
      </c>
      <c r="M34" s="40">
        <f>SUMPRODUCT($H34:$L34,$H$228:$L$228)</f>
        <v/>
      </c>
      <c r="N34" s="10">
        <f>RANK.EQ($M34,$M$4:$M$224,0)</f>
        <v/>
      </c>
    </row>
    <row r="35" ht="15" customHeight="1">
      <c r="A35" s="10" t="inlineStr">
        <is>
          <t>JOB-1380</t>
        </is>
      </c>
      <c r="B35" s="6" t="inlineStr">
        <is>
          <t>Sales Taking Order - Penempatan DepokPT. Agroka Bu</t>
        </is>
      </c>
      <c r="C35" s="35" t="n">
        <v>1</v>
      </c>
      <c r="D35" s="35" t="n">
        <v>1.9048</v>
      </c>
      <c r="E35" s="35" t="n">
        <v>0.4</v>
      </c>
      <c r="F35" s="35" t="n">
        <v>0.95</v>
      </c>
      <c r="G35" s="35" t="n">
        <v>0.0566</v>
      </c>
      <c r="H35" s="35">
        <f>IFERROR(IF('03_ALTERNATIF'!$J$19="Benefit",(C35-$C$227)/($C$226-$C$227),($C$226-C35)/($C$226-$C$227)),1)</f>
        <v/>
      </c>
      <c r="I35" s="35">
        <f>IFERROR(IF('03_ALTERNATIF'!$K$19="Benefit",(D35-$D$227)/($D$226-$D$227),($D$226-D35)/($D$226-$D$227)),1)</f>
        <v/>
      </c>
      <c r="J35" s="35">
        <f>IFERROR(IF('03_ALTERNATIF'!$L$19="Benefit",(E35-$E$227)/($E$226-$E$227),($E$226-E35)/($E$226-$E$227)),1)</f>
        <v/>
      </c>
      <c r="K35" s="35">
        <f>IFERROR(IF('03_ALTERNATIF'!$M$19="Benefit",(F35-$F$227)/($F$226-$F$227),($F$226-F35)/($F$226-$F$227)),1)</f>
        <v/>
      </c>
      <c r="L35" s="35">
        <f>IFERROR(IF('03_ALTERNATIF'!$N$19="Benefit",(G35-$G$227)/($G$226-$G$227),($G$226-G35)/($G$226-$G$227)),1)</f>
        <v/>
      </c>
      <c r="M35" s="40">
        <f>SUMPRODUCT($H35:$L35,$H$228:$L$228)</f>
        <v/>
      </c>
      <c r="N35" s="10">
        <f>RANK.EQ($M35,$M$4:$M$224,0)</f>
        <v/>
      </c>
    </row>
    <row r="36" ht="15" customHeight="1">
      <c r="A36" s="10" t="inlineStr">
        <is>
          <t>JOB-1349</t>
        </is>
      </c>
      <c r="B36" s="6" t="inlineStr">
        <is>
          <t>Guru Matematika</t>
        </is>
      </c>
      <c r="C36" s="35" t="n">
        <v>1</v>
      </c>
      <c r="D36" s="35" t="n">
        <v>1.6667</v>
      </c>
      <c r="E36" s="35" t="n">
        <v>0.8</v>
      </c>
      <c r="F36" s="35" t="n">
        <v>0.75</v>
      </c>
      <c r="G36" s="35" t="n">
        <v>0.329</v>
      </c>
      <c r="H36" s="35">
        <f>IFERROR(IF('03_ALTERNATIF'!$J$19="Benefit",(C36-$C$227)/($C$226-$C$227),($C$226-C36)/($C$226-$C$227)),1)</f>
        <v/>
      </c>
      <c r="I36" s="35">
        <f>IFERROR(IF('03_ALTERNATIF'!$K$19="Benefit",(D36-$D$227)/($D$226-$D$227),($D$226-D36)/($D$226-$D$227)),1)</f>
        <v/>
      </c>
      <c r="J36" s="35">
        <f>IFERROR(IF('03_ALTERNATIF'!$L$19="Benefit",(E36-$E$227)/($E$226-$E$227),($E$226-E36)/($E$226-$E$227)),1)</f>
        <v/>
      </c>
      <c r="K36" s="35">
        <f>IFERROR(IF('03_ALTERNATIF'!$M$19="Benefit",(F36-$F$227)/($F$226-$F$227),($F$226-F36)/($F$226-$F$227)),1)</f>
        <v/>
      </c>
      <c r="L36" s="35">
        <f>IFERROR(IF('03_ALTERNATIF'!$N$19="Benefit",(G36-$G$227)/($G$226-$G$227),($G$226-G36)/($G$226-$G$227)),1)</f>
        <v/>
      </c>
      <c r="M36" s="40">
        <f>SUMPRODUCT($H36:$L36,$H$228:$L$228)</f>
        <v/>
      </c>
      <c r="N36" s="10">
        <f>RANK.EQ($M36,$M$4:$M$224,0)</f>
        <v/>
      </c>
    </row>
    <row r="37" ht="15" customHeight="1">
      <c r="A37" s="10" t="inlineStr">
        <is>
          <t>JOB-1177</t>
        </is>
      </c>
      <c r="B37" s="6" t="inlineStr">
        <is>
          <t>[Part-time] - Pengajar Matematika Bilingual - Bogor Sentul</t>
        </is>
      </c>
      <c r="C37" s="35" t="n">
        <v>1</v>
      </c>
      <c r="D37" s="35" t="n">
        <v>2</v>
      </c>
      <c r="E37" s="35" t="n">
        <v>0.4</v>
      </c>
      <c r="F37" s="35" t="n">
        <v>0.75</v>
      </c>
      <c r="G37" s="35" t="n">
        <v>0.0639</v>
      </c>
      <c r="H37" s="35">
        <f>IFERROR(IF('03_ALTERNATIF'!$J$19="Benefit",(C37-$C$227)/($C$226-$C$227),($C$226-C37)/($C$226-$C$227)),1)</f>
        <v/>
      </c>
      <c r="I37" s="35">
        <f>IFERROR(IF('03_ALTERNATIF'!$K$19="Benefit",(D37-$D$227)/($D$226-$D$227),($D$226-D37)/($D$226-$D$227)),1)</f>
        <v/>
      </c>
      <c r="J37" s="35">
        <f>IFERROR(IF('03_ALTERNATIF'!$L$19="Benefit",(E37-$E$227)/($E$226-$E$227),($E$226-E37)/($E$226-$E$227)),1)</f>
        <v/>
      </c>
      <c r="K37" s="35">
        <f>IFERROR(IF('03_ALTERNATIF'!$M$19="Benefit",(F37-$F$227)/($F$226-$F$227),($F$226-F37)/($F$226-$F$227)),1)</f>
        <v/>
      </c>
      <c r="L37" s="35">
        <f>IFERROR(IF('03_ALTERNATIF'!$N$19="Benefit",(G37-$G$227)/($G$226-$G$227),($G$226-G37)/($G$226-$G$227)),1)</f>
        <v/>
      </c>
      <c r="M37" s="40">
        <f>SUMPRODUCT($H37:$L37,$H$228:$L$228)</f>
        <v/>
      </c>
      <c r="N37" s="10">
        <f>RANK.EQ($M37,$M$4:$M$224,0)</f>
        <v/>
      </c>
    </row>
    <row r="38" ht="15" customHeight="1">
      <c r="A38" s="10" t="inlineStr">
        <is>
          <t>JOB-1178</t>
        </is>
      </c>
      <c r="B38" s="6" t="inlineStr">
        <is>
          <t>Guru IPA</t>
        </is>
      </c>
      <c r="C38" s="35" t="n">
        <v>1</v>
      </c>
      <c r="D38" s="35" t="n">
        <v>1.8095</v>
      </c>
      <c r="E38" s="35" t="n">
        <v>0.4</v>
      </c>
      <c r="F38" s="35" t="n">
        <v>0.95</v>
      </c>
      <c r="G38" s="35" t="n">
        <v>0.329</v>
      </c>
      <c r="H38" s="35">
        <f>IFERROR(IF('03_ALTERNATIF'!$J$19="Benefit",(C38-$C$227)/($C$226-$C$227),($C$226-C38)/($C$226-$C$227)),1)</f>
        <v/>
      </c>
      <c r="I38" s="35">
        <f>IFERROR(IF('03_ALTERNATIF'!$K$19="Benefit",(D38-$D$227)/($D$226-$D$227),($D$226-D38)/($D$226-$D$227)),1)</f>
        <v/>
      </c>
      <c r="J38" s="35">
        <f>IFERROR(IF('03_ALTERNATIF'!$L$19="Benefit",(E38-$E$227)/($E$226-$E$227),($E$226-E38)/($E$226-$E$227)),1)</f>
        <v/>
      </c>
      <c r="K38" s="35">
        <f>IFERROR(IF('03_ALTERNATIF'!$M$19="Benefit",(F38-$F$227)/($F$226-$F$227),($F$226-F38)/($F$226-$F$227)),1)</f>
        <v/>
      </c>
      <c r="L38" s="35">
        <f>IFERROR(IF('03_ALTERNATIF'!$N$19="Benefit",(G38-$G$227)/($G$226-$G$227),($G$226-G38)/($G$226-$G$227)),1)</f>
        <v/>
      </c>
      <c r="M38" s="40">
        <f>SUMPRODUCT($H38:$L38,$H$228:$L$228)</f>
        <v/>
      </c>
      <c r="N38" s="10">
        <f>RANK.EQ($M38,$M$4:$M$224,0)</f>
        <v/>
      </c>
    </row>
    <row r="39" ht="15" customHeight="1">
      <c r="A39" s="10" t="inlineStr">
        <is>
          <t>JOB-1214</t>
        </is>
      </c>
      <c r="B39" s="6" t="inlineStr">
        <is>
          <t>Education Consultant</t>
        </is>
      </c>
      <c r="C39" s="35" t="n">
        <v>1</v>
      </c>
      <c r="D39" s="35" t="n">
        <v>1.4286</v>
      </c>
      <c r="E39" s="35" t="n">
        <v>1</v>
      </c>
      <c r="F39" s="35" t="n">
        <v>0.85</v>
      </c>
      <c r="G39" s="35" t="n">
        <v>0.0639</v>
      </c>
      <c r="H39" s="35">
        <f>IFERROR(IF('03_ALTERNATIF'!$J$19="Benefit",(C39-$C$227)/($C$226-$C$227),($C$226-C39)/($C$226-$C$227)),1)</f>
        <v/>
      </c>
      <c r="I39" s="35">
        <f>IFERROR(IF('03_ALTERNATIF'!$K$19="Benefit",(D39-$D$227)/($D$226-$D$227),($D$226-D39)/($D$226-$D$227)),1)</f>
        <v/>
      </c>
      <c r="J39" s="35">
        <f>IFERROR(IF('03_ALTERNATIF'!$L$19="Benefit",(E39-$E$227)/($E$226-$E$227),($E$226-E39)/($E$226-$E$227)),1)</f>
        <v/>
      </c>
      <c r="K39" s="35">
        <f>IFERROR(IF('03_ALTERNATIF'!$M$19="Benefit",(F39-$F$227)/($F$226-$F$227),($F$226-F39)/($F$226-$F$227)),1)</f>
        <v/>
      </c>
      <c r="L39" s="35">
        <f>IFERROR(IF('03_ALTERNATIF'!$N$19="Benefit",(G39-$G$227)/($G$226-$G$227),($G$226-G39)/($G$226-$G$227)),1)</f>
        <v/>
      </c>
      <c r="M39" s="40">
        <f>SUMPRODUCT($H39:$L39,$H$228:$L$228)</f>
        <v/>
      </c>
      <c r="N39" s="10">
        <f>RANK.EQ($M39,$M$4:$M$224,0)</f>
        <v/>
      </c>
    </row>
    <row r="40" ht="15" customHeight="1">
      <c r="A40" s="10" t="inlineStr">
        <is>
          <t>JOB-1161</t>
        </is>
      </c>
      <c r="B40" s="6" t="inlineStr">
        <is>
          <t>Part Time English Teacher</t>
        </is>
      </c>
      <c r="C40" s="35" t="n">
        <v>1</v>
      </c>
      <c r="D40" s="35" t="n">
        <v>1.4286</v>
      </c>
      <c r="E40" s="35" t="n">
        <v>0.8</v>
      </c>
      <c r="F40" s="35" t="n">
        <v>0.95</v>
      </c>
      <c r="G40" s="35" t="n">
        <v>0.288</v>
      </c>
      <c r="H40" s="35">
        <f>IFERROR(IF('03_ALTERNATIF'!$J$19="Benefit",(C40-$C$227)/($C$226-$C$227),($C$226-C40)/($C$226-$C$227)),1)</f>
        <v/>
      </c>
      <c r="I40" s="35">
        <f>IFERROR(IF('03_ALTERNATIF'!$K$19="Benefit",(D40-$D$227)/($D$226-$D$227),($D$226-D40)/($D$226-$D$227)),1)</f>
        <v/>
      </c>
      <c r="J40" s="35">
        <f>IFERROR(IF('03_ALTERNATIF'!$L$19="Benefit",(E40-$E$227)/($E$226-$E$227),($E$226-E40)/($E$226-$E$227)),1)</f>
        <v/>
      </c>
      <c r="K40" s="35">
        <f>IFERROR(IF('03_ALTERNATIF'!$M$19="Benefit",(F40-$F$227)/($F$226-$F$227),($F$226-F40)/($F$226-$F$227)),1)</f>
        <v/>
      </c>
      <c r="L40" s="35">
        <f>IFERROR(IF('03_ALTERNATIF'!$N$19="Benefit",(G40-$G$227)/($G$226-$G$227),($G$226-G40)/($G$226-$G$227)),1)</f>
        <v/>
      </c>
      <c r="M40" s="40">
        <f>SUMPRODUCT($H40:$L40,$H$228:$L$228)</f>
        <v/>
      </c>
      <c r="N40" s="10">
        <f>RANK.EQ($M40,$M$4:$M$224,0)</f>
        <v/>
      </c>
    </row>
    <row r="41" ht="15" customHeight="1">
      <c r="A41" s="10" t="inlineStr">
        <is>
          <t>JOB-1123</t>
        </is>
      </c>
      <c r="B41" s="6" t="inlineStr">
        <is>
          <t>Tutor Matematika IPA SMA - JAKARTA BARAT</t>
        </is>
      </c>
      <c r="C41" s="35" t="n">
        <v>1</v>
      </c>
      <c r="D41" s="35" t="n">
        <v>1.4286</v>
      </c>
      <c r="E41" s="35" t="n">
        <v>0.8</v>
      </c>
      <c r="F41" s="35" t="n">
        <v>0.95</v>
      </c>
      <c r="G41" s="35" t="n">
        <v>0.0566</v>
      </c>
      <c r="H41" s="35">
        <f>IFERROR(IF('03_ALTERNATIF'!$J$19="Benefit",(C41-$C$227)/($C$226-$C$227),($C$226-C41)/($C$226-$C$227)),1)</f>
        <v/>
      </c>
      <c r="I41" s="35">
        <f>IFERROR(IF('03_ALTERNATIF'!$K$19="Benefit",(D41-$D$227)/($D$226-$D$227),($D$226-D41)/($D$226-$D$227)),1)</f>
        <v/>
      </c>
      <c r="J41" s="35">
        <f>IFERROR(IF('03_ALTERNATIF'!$L$19="Benefit",(E41-$E$227)/($E$226-$E$227),($E$226-E41)/($E$226-$E$227)),1)</f>
        <v/>
      </c>
      <c r="K41" s="35">
        <f>IFERROR(IF('03_ALTERNATIF'!$M$19="Benefit",(F41-$F$227)/($F$226-$F$227),($F$226-F41)/($F$226-$F$227)),1)</f>
        <v/>
      </c>
      <c r="L41" s="35">
        <f>IFERROR(IF('03_ALTERNATIF'!$N$19="Benefit",(G41-$G$227)/($G$226-$G$227),($G$226-G41)/($G$226-$G$227)),1)</f>
        <v/>
      </c>
      <c r="M41" s="40">
        <f>SUMPRODUCT($H41:$L41,$H$228:$L$228)</f>
        <v/>
      </c>
      <c r="N41" s="10">
        <f>RANK.EQ($M41,$M$4:$M$224,0)</f>
        <v/>
      </c>
    </row>
    <row r="42" ht="15" customHeight="1">
      <c r="A42" s="10" t="inlineStr">
        <is>
          <t>JOB-1180</t>
        </is>
      </c>
      <c r="B42" s="6" t="inlineStr">
        <is>
          <t>GURU PRIVATE CALISTUNG &amp; ENGLISH JAKARTA TIMUR</t>
        </is>
      </c>
      <c r="C42" s="35" t="n">
        <v>1</v>
      </c>
      <c r="D42" s="35" t="n">
        <v>1.4286</v>
      </c>
      <c r="E42" s="35" t="n">
        <v>1</v>
      </c>
      <c r="F42" s="35" t="n">
        <v>0.65</v>
      </c>
      <c r="G42" s="35" t="n">
        <v>0.329</v>
      </c>
      <c r="H42" s="35">
        <f>IFERROR(IF('03_ALTERNATIF'!$J$19="Benefit",(C42-$C$227)/($C$226-$C$227),($C$226-C42)/($C$226-$C$227)),1)</f>
        <v/>
      </c>
      <c r="I42" s="35">
        <f>IFERROR(IF('03_ALTERNATIF'!$K$19="Benefit",(D42-$D$227)/($D$226-$D$227),($D$226-D42)/($D$226-$D$227)),1)</f>
        <v/>
      </c>
      <c r="J42" s="35">
        <f>IFERROR(IF('03_ALTERNATIF'!$L$19="Benefit",(E42-$E$227)/($E$226-$E$227),($E$226-E42)/($E$226-$E$227)),1)</f>
        <v/>
      </c>
      <c r="K42" s="35">
        <f>IFERROR(IF('03_ALTERNATIF'!$M$19="Benefit",(F42-$F$227)/($F$226-$F$227),($F$226-F42)/($F$226-$F$227)),1)</f>
        <v/>
      </c>
      <c r="L42" s="35">
        <f>IFERROR(IF('03_ALTERNATIF'!$N$19="Benefit",(G42-$G$227)/($G$226-$G$227),($G$226-G42)/($G$226-$G$227)),1)</f>
        <v/>
      </c>
      <c r="M42" s="40">
        <f>SUMPRODUCT($H42:$L42,$H$228:$L$228)</f>
        <v/>
      </c>
      <c r="N42" s="10">
        <f>RANK.EQ($M42,$M$4:$M$224,0)</f>
        <v/>
      </c>
    </row>
    <row r="43" ht="15" customHeight="1">
      <c r="A43" s="10" t="inlineStr">
        <is>
          <t>JOB-1277</t>
        </is>
      </c>
      <c r="B43" s="6" t="inlineStr">
        <is>
          <t>Guru Bimbel</t>
        </is>
      </c>
      <c r="C43" s="35" t="n">
        <v>1</v>
      </c>
      <c r="D43" s="35" t="n">
        <v>1.8095</v>
      </c>
      <c r="E43" s="35" t="n">
        <v>0.4</v>
      </c>
      <c r="F43" s="35" t="n">
        <v>0.85</v>
      </c>
      <c r="G43" s="35" t="n">
        <v>0.0639</v>
      </c>
      <c r="H43" s="35">
        <f>IFERROR(IF('03_ALTERNATIF'!$J$19="Benefit",(C43-$C$227)/($C$226-$C$227),($C$226-C43)/($C$226-$C$227)),1)</f>
        <v/>
      </c>
      <c r="I43" s="35">
        <f>IFERROR(IF('03_ALTERNATIF'!$K$19="Benefit",(D43-$D$227)/($D$226-$D$227),($D$226-D43)/($D$226-$D$227)),1)</f>
        <v/>
      </c>
      <c r="J43" s="35">
        <f>IFERROR(IF('03_ALTERNATIF'!$L$19="Benefit",(E43-$E$227)/($E$226-$E$227),($E$226-E43)/($E$226-$E$227)),1)</f>
        <v/>
      </c>
      <c r="K43" s="35">
        <f>IFERROR(IF('03_ALTERNATIF'!$M$19="Benefit",(F43-$F$227)/($F$226-$F$227),($F$226-F43)/($F$226-$F$227)),1)</f>
        <v/>
      </c>
      <c r="L43" s="35">
        <f>IFERROR(IF('03_ALTERNATIF'!$N$19="Benefit",(G43-$G$227)/($G$226-$G$227),($G$226-G43)/($G$226-$G$227)),1)</f>
        <v/>
      </c>
      <c r="M43" s="40">
        <f>SUMPRODUCT($H43:$L43,$H$228:$L$228)</f>
        <v/>
      </c>
      <c r="N43" s="10">
        <f>RANK.EQ($M43,$M$4:$M$224,0)</f>
        <v/>
      </c>
    </row>
    <row r="44" ht="15" customHeight="1">
      <c r="A44" s="10" t="inlineStr">
        <is>
          <t>JOB-1328</t>
        </is>
      </c>
      <c r="B44" s="6" t="inlineStr">
        <is>
          <t>Mandarin Teacher (Laoshi)</t>
        </is>
      </c>
      <c r="C44" s="35" t="n">
        <v>1</v>
      </c>
      <c r="D44" s="35" t="n">
        <v>1.2857</v>
      </c>
      <c r="E44" s="35" t="n">
        <v>0.8</v>
      </c>
      <c r="F44" s="35" t="n">
        <v>0.95</v>
      </c>
      <c r="G44" s="35" t="n">
        <v>0.7528</v>
      </c>
      <c r="H44" s="35">
        <f>IFERROR(IF('03_ALTERNATIF'!$J$19="Benefit",(C44-$C$227)/($C$226-$C$227),($C$226-C44)/($C$226-$C$227)),1)</f>
        <v/>
      </c>
      <c r="I44" s="35">
        <f>IFERROR(IF('03_ALTERNATIF'!$K$19="Benefit",(D44-$D$227)/($D$226-$D$227),($D$226-D44)/($D$226-$D$227)),1)</f>
        <v/>
      </c>
      <c r="J44" s="35">
        <f>IFERROR(IF('03_ALTERNATIF'!$L$19="Benefit",(E44-$E$227)/($E$226-$E$227),($E$226-E44)/($E$226-$E$227)),1)</f>
        <v/>
      </c>
      <c r="K44" s="35">
        <f>IFERROR(IF('03_ALTERNATIF'!$M$19="Benefit",(F44-$F$227)/($F$226-$F$227),($F$226-F44)/($F$226-$F$227)),1)</f>
        <v/>
      </c>
      <c r="L44" s="35">
        <f>IFERROR(IF('03_ALTERNATIF'!$N$19="Benefit",(G44-$G$227)/($G$226-$G$227),($G$226-G44)/($G$226-$G$227)),1)</f>
        <v/>
      </c>
      <c r="M44" s="40">
        <f>SUMPRODUCT($H44:$L44,$H$228:$L$228)</f>
        <v/>
      </c>
      <c r="N44" s="10">
        <f>RANK.EQ($M44,$M$4:$M$224,0)</f>
        <v/>
      </c>
    </row>
    <row r="45" ht="15" customHeight="1">
      <c r="A45" s="10" t="inlineStr">
        <is>
          <t>JOB-1115</t>
        </is>
      </c>
      <c r="B45" s="6" t="inlineStr">
        <is>
          <t>English Teachers (Part-Time)</t>
        </is>
      </c>
      <c r="C45" s="35" t="n">
        <v>1</v>
      </c>
      <c r="D45" s="35" t="n">
        <v>2</v>
      </c>
      <c r="E45" s="35" t="n">
        <v>0.4</v>
      </c>
      <c r="F45" s="35" t="n">
        <v>0.55</v>
      </c>
      <c r="G45" s="35" t="n">
        <v>0.0639</v>
      </c>
      <c r="H45" s="35">
        <f>IFERROR(IF('03_ALTERNATIF'!$J$19="Benefit",(C45-$C$227)/($C$226-$C$227),($C$226-C45)/($C$226-$C$227)),1)</f>
        <v/>
      </c>
      <c r="I45" s="35">
        <f>IFERROR(IF('03_ALTERNATIF'!$K$19="Benefit",(D45-$D$227)/($D$226-$D$227),($D$226-D45)/($D$226-$D$227)),1)</f>
        <v/>
      </c>
      <c r="J45" s="35">
        <f>IFERROR(IF('03_ALTERNATIF'!$L$19="Benefit",(E45-$E$227)/($E$226-$E$227),($E$226-E45)/($E$226-$E$227)),1)</f>
        <v/>
      </c>
      <c r="K45" s="35">
        <f>IFERROR(IF('03_ALTERNATIF'!$M$19="Benefit",(F45-$F$227)/($F$226-$F$227),($F$226-F45)/($F$226-$F$227)),1)</f>
        <v/>
      </c>
      <c r="L45" s="35">
        <f>IFERROR(IF('03_ALTERNATIF'!$N$19="Benefit",(G45-$G$227)/($G$226-$G$227),($G$226-G45)/($G$226-$G$227)),1)</f>
        <v/>
      </c>
      <c r="M45" s="40">
        <f>SUMPRODUCT($H45:$L45,$H$228:$L$228)</f>
        <v/>
      </c>
      <c r="N45" s="10">
        <f>RANK.EQ($M45,$M$4:$M$224,0)</f>
        <v/>
      </c>
    </row>
    <row r="46" ht="15" customHeight="1">
      <c r="A46" s="10" t="inlineStr">
        <is>
          <t>JOB-1313</t>
        </is>
      </c>
      <c r="B46" s="6" t="inlineStr">
        <is>
          <t>English Mentor</t>
        </is>
      </c>
      <c r="C46" s="35" t="n">
        <v>1</v>
      </c>
      <c r="D46" s="35" t="n">
        <v>1.8095</v>
      </c>
      <c r="E46" s="35" t="n">
        <v>0.4</v>
      </c>
      <c r="F46" s="35" t="n">
        <v>0.75</v>
      </c>
      <c r="G46" s="35" t="n">
        <v>0.329</v>
      </c>
      <c r="H46" s="35">
        <f>IFERROR(IF('03_ALTERNATIF'!$J$19="Benefit",(C46-$C$227)/($C$226-$C$227),($C$226-C46)/($C$226-$C$227)),1)</f>
        <v/>
      </c>
      <c r="I46" s="35">
        <f>IFERROR(IF('03_ALTERNATIF'!$K$19="Benefit",(D46-$D$227)/($D$226-$D$227),($D$226-D46)/($D$226-$D$227)),1)</f>
        <v/>
      </c>
      <c r="J46" s="35">
        <f>IFERROR(IF('03_ALTERNATIF'!$L$19="Benefit",(E46-$E$227)/($E$226-$E$227),($E$226-E46)/($E$226-$E$227)),1)</f>
        <v/>
      </c>
      <c r="K46" s="35">
        <f>IFERROR(IF('03_ALTERNATIF'!$M$19="Benefit",(F46-$F$227)/($F$226-$F$227),($F$226-F46)/($F$226-$F$227)),1)</f>
        <v/>
      </c>
      <c r="L46" s="35">
        <f>IFERROR(IF('03_ALTERNATIF'!$N$19="Benefit",(G46-$G$227)/($G$226-$G$227),($G$226-G46)/($G$226-$G$227)),1)</f>
        <v/>
      </c>
      <c r="M46" s="40">
        <f>SUMPRODUCT($H46:$L46,$H$228:$L$228)</f>
        <v/>
      </c>
      <c r="N46" s="10">
        <f>RANK.EQ($M46,$M$4:$M$224,0)</f>
        <v/>
      </c>
    </row>
    <row r="47" ht="15" customHeight="1">
      <c r="A47" s="10" t="inlineStr">
        <is>
          <t>JOB-1186</t>
        </is>
      </c>
      <c r="B47" s="6" t="inlineStr">
        <is>
          <t>Tutor</t>
        </is>
      </c>
      <c r="C47" s="35" t="n">
        <v>1</v>
      </c>
      <c r="D47" s="35" t="n">
        <v>1.6667</v>
      </c>
      <c r="E47" s="35" t="n">
        <v>0.4</v>
      </c>
      <c r="F47" s="35" t="n">
        <v>0.95</v>
      </c>
      <c r="G47" s="35" t="n">
        <v>0.329</v>
      </c>
      <c r="H47" s="35">
        <f>IFERROR(IF('03_ALTERNATIF'!$J$19="Benefit",(C47-$C$227)/($C$226-$C$227),($C$226-C47)/($C$226-$C$227)),1)</f>
        <v/>
      </c>
      <c r="I47" s="35">
        <f>IFERROR(IF('03_ALTERNATIF'!$K$19="Benefit",(D47-$D$227)/($D$226-$D$227),($D$226-D47)/($D$226-$D$227)),1)</f>
        <v/>
      </c>
      <c r="J47" s="35">
        <f>IFERROR(IF('03_ALTERNATIF'!$L$19="Benefit",(E47-$E$227)/($E$226-$E$227),($E$226-E47)/($E$226-$E$227)),1)</f>
        <v/>
      </c>
      <c r="K47" s="35">
        <f>IFERROR(IF('03_ALTERNATIF'!$M$19="Benefit",(F47-$F$227)/($F$226-$F$227),($F$226-F47)/($F$226-$F$227)),1)</f>
        <v/>
      </c>
      <c r="L47" s="35">
        <f>IFERROR(IF('03_ALTERNATIF'!$N$19="Benefit",(G47-$G$227)/($G$226-$G$227),($G$226-G47)/($G$226-$G$227)),1)</f>
        <v/>
      </c>
      <c r="M47" s="40">
        <f>SUMPRODUCT($H47:$L47,$H$228:$L$228)</f>
        <v/>
      </c>
      <c r="N47" s="10">
        <f>RANK.EQ($M47,$M$4:$M$224,0)</f>
        <v/>
      </c>
    </row>
    <row r="48" ht="15" customHeight="1">
      <c r="A48" s="10" t="inlineStr">
        <is>
          <t>JOB-1229</t>
        </is>
      </c>
      <c r="B48" s="6" t="inlineStr">
        <is>
          <t>Master Teacher UTBK (PU,PK,PM)</t>
        </is>
      </c>
      <c r="C48" s="35" t="n">
        <v>1</v>
      </c>
      <c r="D48" s="35" t="n">
        <v>1.6667</v>
      </c>
      <c r="E48" s="35" t="n">
        <v>0.4</v>
      </c>
      <c r="F48" s="35" t="n">
        <v>0.95</v>
      </c>
      <c r="G48" s="35" t="n">
        <v>0.288</v>
      </c>
      <c r="H48" s="35">
        <f>IFERROR(IF('03_ALTERNATIF'!$J$19="Benefit",(C48-$C$227)/($C$226-$C$227),($C$226-C48)/($C$226-$C$227)),1)</f>
        <v/>
      </c>
      <c r="I48" s="35">
        <f>IFERROR(IF('03_ALTERNATIF'!$K$19="Benefit",(D48-$D$227)/($D$226-$D$227),($D$226-D48)/($D$226-$D$227)),1)</f>
        <v/>
      </c>
      <c r="J48" s="35">
        <f>IFERROR(IF('03_ALTERNATIF'!$L$19="Benefit",(E48-$E$227)/($E$226-$E$227),($E$226-E48)/($E$226-$E$227)),1)</f>
        <v/>
      </c>
      <c r="K48" s="35">
        <f>IFERROR(IF('03_ALTERNATIF'!$M$19="Benefit",(F48-$F$227)/($F$226-$F$227),($F$226-F48)/($F$226-$F$227)),1)</f>
        <v/>
      </c>
      <c r="L48" s="35">
        <f>IFERROR(IF('03_ALTERNATIF'!$N$19="Benefit",(G48-$G$227)/($G$226-$G$227),($G$226-G48)/($G$226-$G$227)),1)</f>
        <v/>
      </c>
      <c r="M48" s="40">
        <f>SUMPRODUCT($H48:$L48,$H$228:$L$228)</f>
        <v/>
      </c>
      <c r="N48" s="10">
        <f>RANK.EQ($M48,$M$4:$M$224,0)</f>
        <v/>
      </c>
    </row>
    <row r="49" ht="15" customHeight="1">
      <c r="A49" s="10" t="inlineStr">
        <is>
          <t>JOB-1337</t>
        </is>
      </c>
      <c r="B49" s="6" t="inlineStr">
        <is>
          <t>Dosen Pendidikan</t>
        </is>
      </c>
      <c r="C49" s="35" t="n">
        <v>1</v>
      </c>
      <c r="D49" s="35" t="n">
        <v>1.4286</v>
      </c>
      <c r="E49" s="35" t="n">
        <v>0.8</v>
      </c>
      <c r="F49" s="35" t="n">
        <v>0.85</v>
      </c>
      <c r="G49" s="35" t="n">
        <v>0.0639</v>
      </c>
      <c r="H49" s="35">
        <f>IFERROR(IF('03_ALTERNATIF'!$J$19="Benefit",(C49-$C$227)/($C$226-$C$227),($C$226-C49)/($C$226-$C$227)),1)</f>
        <v/>
      </c>
      <c r="I49" s="35">
        <f>IFERROR(IF('03_ALTERNATIF'!$K$19="Benefit",(D49-$D$227)/($D$226-$D$227),($D$226-D49)/($D$226-$D$227)),1)</f>
        <v/>
      </c>
      <c r="J49" s="35">
        <f>IFERROR(IF('03_ALTERNATIF'!$L$19="Benefit",(E49-$E$227)/($E$226-$E$227),($E$226-E49)/($E$226-$E$227)),1)</f>
        <v/>
      </c>
      <c r="K49" s="35">
        <f>IFERROR(IF('03_ALTERNATIF'!$M$19="Benefit",(F49-$F$227)/($F$226-$F$227),($F$226-F49)/($F$226-$F$227)),1)</f>
        <v/>
      </c>
      <c r="L49" s="35">
        <f>IFERROR(IF('03_ALTERNATIF'!$N$19="Benefit",(G49-$G$227)/($G$226-$G$227),($G$226-G49)/($G$226-$G$227)),1)</f>
        <v/>
      </c>
      <c r="M49" s="40">
        <f>SUMPRODUCT($H49:$L49,$H$228:$L$228)</f>
        <v/>
      </c>
      <c r="N49" s="10">
        <f>RANK.EQ($M49,$M$4:$M$224,0)</f>
        <v/>
      </c>
    </row>
    <row r="50" ht="15" customHeight="1">
      <c r="A50" s="10" t="inlineStr">
        <is>
          <t>JOB-1365</t>
        </is>
      </c>
      <c r="B50" s="6" t="inlineStr">
        <is>
          <t>Sales Toko Laptop (Tangerang City / Alam Sutera)KL</t>
        </is>
      </c>
      <c r="C50" s="35" t="n">
        <v>1</v>
      </c>
      <c r="D50" s="35" t="n">
        <v>1.6667</v>
      </c>
      <c r="E50" s="35" t="n">
        <v>0.4</v>
      </c>
      <c r="F50" s="35" t="n">
        <v>0.95</v>
      </c>
      <c r="G50" s="35" t="n">
        <v>0.0639</v>
      </c>
      <c r="H50" s="35">
        <f>IFERROR(IF('03_ALTERNATIF'!$J$19="Benefit",(C50-$C$227)/($C$226-$C$227),($C$226-C50)/($C$226-$C$227)),1)</f>
        <v/>
      </c>
      <c r="I50" s="35">
        <f>IFERROR(IF('03_ALTERNATIF'!$K$19="Benefit",(D50-$D$227)/($D$226-$D$227),($D$226-D50)/($D$226-$D$227)),1)</f>
        <v/>
      </c>
      <c r="J50" s="35">
        <f>IFERROR(IF('03_ALTERNATIF'!$L$19="Benefit",(E50-$E$227)/($E$226-$E$227),($E$226-E50)/($E$226-$E$227)),1)</f>
        <v/>
      </c>
      <c r="K50" s="35">
        <f>IFERROR(IF('03_ALTERNATIF'!$M$19="Benefit",(F50-$F$227)/($F$226-$F$227),($F$226-F50)/($F$226-$F$227)),1)</f>
        <v/>
      </c>
      <c r="L50" s="35">
        <f>IFERROR(IF('03_ALTERNATIF'!$N$19="Benefit",(G50-$G$227)/($G$226-$G$227),($G$226-G50)/($G$226-$G$227)),1)</f>
        <v/>
      </c>
      <c r="M50" s="40">
        <f>SUMPRODUCT($H50:$L50,$H$228:$L$228)</f>
        <v/>
      </c>
      <c r="N50" s="10">
        <f>RANK.EQ($M50,$M$4:$M$224,0)</f>
        <v/>
      </c>
    </row>
    <row r="51" ht="15" customHeight="1">
      <c r="A51" s="10" t="inlineStr">
        <is>
          <t>JOB-1343</t>
        </is>
      </c>
      <c r="B51" s="6" t="inlineStr">
        <is>
          <t>Pelatih Tari Tradisional</t>
        </is>
      </c>
      <c r="C51" s="35" t="n">
        <v>1</v>
      </c>
      <c r="D51" s="35" t="n">
        <v>1.6667</v>
      </c>
      <c r="E51" s="35" t="n">
        <v>0.4</v>
      </c>
      <c r="F51" s="35" t="n">
        <v>0.95</v>
      </c>
      <c r="G51" s="35" t="n">
        <v>0.0566</v>
      </c>
      <c r="H51" s="35">
        <f>IFERROR(IF('03_ALTERNATIF'!$J$19="Benefit",(C51-$C$227)/($C$226-$C$227),($C$226-C51)/($C$226-$C$227)),1)</f>
        <v/>
      </c>
      <c r="I51" s="35">
        <f>IFERROR(IF('03_ALTERNATIF'!$K$19="Benefit",(D51-$D$227)/($D$226-$D$227),($D$226-D51)/($D$226-$D$227)),1)</f>
        <v/>
      </c>
      <c r="J51" s="35">
        <f>IFERROR(IF('03_ALTERNATIF'!$L$19="Benefit",(E51-$E$227)/($E$226-$E$227),($E$226-E51)/($E$226-$E$227)),1)</f>
        <v/>
      </c>
      <c r="K51" s="35">
        <f>IFERROR(IF('03_ALTERNATIF'!$M$19="Benefit",(F51-$F$227)/($F$226-$F$227),($F$226-F51)/($F$226-$F$227)),1)</f>
        <v/>
      </c>
      <c r="L51" s="35">
        <f>IFERROR(IF('03_ALTERNATIF'!$N$19="Benefit",(G51-$G$227)/($G$226-$G$227),($G$226-G51)/($G$226-$G$227)),1)</f>
        <v/>
      </c>
      <c r="M51" s="40">
        <f>SUMPRODUCT($H51:$L51,$H$228:$L$228)</f>
        <v/>
      </c>
      <c r="N51" s="10">
        <f>RANK.EQ($M51,$M$4:$M$224,0)</f>
        <v/>
      </c>
    </row>
    <row r="52" ht="15" customHeight="1">
      <c r="A52" s="10" t="inlineStr">
        <is>
          <t>JOB-1335</t>
        </is>
      </c>
      <c r="B52" s="6" t="inlineStr">
        <is>
          <t>Guru Mandarin</t>
        </is>
      </c>
      <c r="C52" s="35" t="n">
        <v>1</v>
      </c>
      <c r="D52" s="35" t="n">
        <v>1.6667</v>
      </c>
      <c r="E52" s="35" t="n">
        <v>0.4</v>
      </c>
      <c r="F52" s="35" t="n">
        <v>0.95</v>
      </c>
      <c r="G52" s="35" t="n">
        <v>0.0566</v>
      </c>
      <c r="H52" s="35">
        <f>IFERROR(IF('03_ALTERNATIF'!$J$19="Benefit",(C52-$C$227)/($C$226-$C$227),($C$226-C52)/($C$226-$C$227)),1)</f>
        <v/>
      </c>
      <c r="I52" s="35">
        <f>IFERROR(IF('03_ALTERNATIF'!$K$19="Benefit",(D52-$D$227)/($D$226-$D$227),($D$226-D52)/($D$226-$D$227)),1)</f>
        <v/>
      </c>
      <c r="J52" s="35">
        <f>IFERROR(IF('03_ALTERNATIF'!$L$19="Benefit",(E52-$E$227)/($E$226-$E$227),($E$226-E52)/($E$226-$E$227)),1)</f>
        <v/>
      </c>
      <c r="K52" s="35">
        <f>IFERROR(IF('03_ALTERNATIF'!$M$19="Benefit",(F52-$F$227)/($F$226-$F$227),($F$226-F52)/($F$226-$F$227)),1)</f>
        <v/>
      </c>
      <c r="L52" s="35">
        <f>IFERROR(IF('03_ALTERNATIF'!$N$19="Benefit",(G52-$G$227)/($G$226-$G$227),($G$226-G52)/($G$226-$G$227)),1)</f>
        <v/>
      </c>
      <c r="M52" s="40">
        <f>SUMPRODUCT($H52:$L52,$H$228:$L$228)</f>
        <v/>
      </c>
      <c r="N52" s="10">
        <f>RANK.EQ($M52,$M$4:$M$224,0)</f>
        <v/>
      </c>
    </row>
    <row r="53" ht="15" customHeight="1">
      <c r="A53" s="10" t="inlineStr">
        <is>
          <t>JOB-1189</t>
        </is>
      </c>
      <c r="B53" s="6" t="inlineStr">
        <is>
          <t>Tutor Conversation SMA - JAKARTA SELATAN</t>
        </is>
      </c>
      <c r="C53" s="35" t="n">
        <v>1</v>
      </c>
      <c r="D53" s="35" t="n">
        <v>1.3333</v>
      </c>
      <c r="E53" s="35" t="n">
        <v>0.8</v>
      </c>
      <c r="F53" s="35" t="n">
        <v>0.95</v>
      </c>
      <c r="G53" s="35" t="n">
        <v>0.0639</v>
      </c>
      <c r="H53" s="35">
        <f>IFERROR(IF('03_ALTERNATIF'!$J$19="Benefit",(C53-$C$227)/($C$226-$C$227),($C$226-C53)/($C$226-$C$227)),1)</f>
        <v/>
      </c>
      <c r="I53" s="35">
        <f>IFERROR(IF('03_ALTERNATIF'!$K$19="Benefit",(D53-$D$227)/($D$226-$D$227),($D$226-D53)/($D$226-$D$227)),1)</f>
        <v/>
      </c>
      <c r="J53" s="35">
        <f>IFERROR(IF('03_ALTERNATIF'!$L$19="Benefit",(E53-$E$227)/($E$226-$E$227),($E$226-E53)/($E$226-$E$227)),1)</f>
        <v/>
      </c>
      <c r="K53" s="35">
        <f>IFERROR(IF('03_ALTERNATIF'!$M$19="Benefit",(F53-$F$227)/($F$226-$F$227),($F$226-F53)/($F$226-$F$227)),1)</f>
        <v/>
      </c>
      <c r="L53" s="35">
        <f>IFERROR(IF('03_ALTERNATIF'!$N$19="Benefit",(G53-$G$227)/($G$226-$G$227),($G$226-G53)/($G$226-$G$227)),1)</f>
        <v/>
      </c>
      <c r="M53" s="40">
        <f>SUMPRODUCT($H53:$L53,$H$228:$L$228)</f>
        <v/>
      </c>
      <c r="N53" s="10">
        <f>RANK.EQ($M53,$M$4:$M$224,0)</f>
        <v/>
      </c>
    </row>
    <row r="54" ht="15" customHeight="1">
      <c r="A54" s="10" t="inlineStr">
        <is>
          <t>JOB-1036</t>
        </is>
      </c>
      <c r="B54" s="6" t="inlineStr">
        <is>
          <t>English Teacher</t>
        </is>
      </c>
      <c r="C54" s="35" t="n">
        <v>1</v>
      </c>
      <c r="D54" s="35" t="n">
        <v>1.3333</v>
      </c>
      <c r="E54" s="35" t="n">
        <v>1</v>
      </c>
      <c r="F54" s="35" t="n">
        <v>0.65</v>
      </c>
      <c r="G54" s="35" t="n">
        <v>0.288</v>
      </c>
      <c r="H54" s="35">
        <f>IFERROR(IF('03_ALTERNATIF'!$J$19="Benefit",(C54-$C$227)/($C$226-$C$227),($C$226-C54)/($C$226-$C$227)),1)</f>
        <v/>
      </c>
      <c r="I54" s="35">
        <f>IFERROR(IF('03_ALTERNATIF'!$K$19="Benefit",(D54-$D$227)/($D$226-$D$227),($D$226-D54)/($D$226-$D$227)),1)</f>
        <v/>
      </c>
      <c r="J54" s="35">
        <f>IFERROR(IF('03_ALTERNATIF'!$L$19="Benefit",(E54-$E$227)/($E$226-$E$227),($E$226-E54)/($E$226-$E$227)),1)</f>
        <v/>
      </c>
      <c r="K54" s="35">
        <f>IFERROR(IF('03_ALTERNATIF'!$M$19="Benefit",(F54-$F$227)/($F$226-$F$227),($F$226-F54)/($F$226-$F$227)),1)</f>
        <v/>
      </c>
      <c r="L54" s="35">
        <f>IFERROR(IF('03_ALTERNATIF'!$N$19="Benefit",(G54-$G$227)/($G$226-$G$227),($G$226-G54)/($G$226-$G$227)),1)</f>
        <v/>
      </c>
      <c r="M54" s="40">
        <f>SUMPRODUCT($H54:$L54,$H$228:$L$228)</f>
        <v/>
      </c>
      <c r="N54" s="10">
        <f>RANK.EQ($M54,$M$4:$M$224,0)</f>
        <v/>
      </c>
    </row>
    <row r="55" ht="15" customHeight="1">
      <c r="A55" s="10" t="inlineStr">
        <is>
          <t>JOB-1118</t>
        </is>
      </c>
      <c r="B55" s="6" t="inlineStr">
        <is>
          <t>Guru ekonomi akuntansi</t>
        </is>
      </c>
      <c r="C55" s="35" t="n">
        <v>1</v>
      </c>
      <c r="D55" s="35" t="n">
        <v>1.6667</v>
      </c>
      <c r="E55" s="35" t="n">
        <v>0.4</v>
      </c>
      <c r="F55" s="35" t="n">
        <v>0.85</v>
      </c>
      <c r="G55" s="35" t="n">
        <v>0.329</v>
      </c>
      <c r="H55" s="35">
        <f>IFERROR(IF('03_ALTERNATIF'!$J$19="Benefit",(C55-$C$227)/($C$226-$C$227),($C$226-C55)/($C$226-$C$227)),1)</f>
        <v/>
      </c>
      <c r="I55" s="35">
        <f>IFERROR(IF('03_ALTERNATIF'!$K$19="Benefit",(D55-$D$227)/($D$226-$D$227),($D$226-D55)/($D$226-$D$227)),1)</f>
        <v/>
      </c>
      <c r="J55" s="35">
        <f>IFERROR(IF('03_ALTERNATIF'!$L$19="Benefit",(E55-$E$227)/($E$226-$E$227),($E$226-E55)/($E$226-$E$227)),1)</f>
        <v/>
      </c>
      <c r="K55" s="35">
        <f>IFERROR(IF('03_ALTERNATIF'!$M$19="Benefit",(F55-$F$227)/($F$226-$F$227),($F$226-F55)/($F$226-$F$227)),1)</f>
        <v/>
      </c>
      <c r="L55" s="35">
        <f>IFERROR(IF('03_ALTERNATIF'!$N$19="Benefit",(G55-$G$227)/($G$226-$G$227),($G$226-G55)/($G$226-$G$227)),1)</f>
        <v/>
      </c>
      <c r="M55" s="40">
        <f>SUMPRODUCT($H55:$L55,$H$228:$L$228)</f>
        <v/>
      </c>
      <c r="N55" s="10">
        <f>RANK.EQ($M55,$M$4:$M$224,0)</f>
        <v/>
      </c>
    </row>
    <row r="56" ht="15" customHeight="1">
      <c r="A56" s="10" t="inlineStr">
        <is>
          <t>JOB-1145</t>
        </is>
      </c>
      <c r="B56" s="6" t="inlineStr">
        <is>
          <t>Guru sekaligus Konten Kreator</t>
        </is>
      </c>
      <c r="C56" s="35" t="n">
        <v>1</v>
      </c>
      <c r="D56" s="35" t="n">
        <v>1.6667</v>
      </c>
      <c r="E56" s="35" t="n">
        <v>0.4</v>
      </c>
      <c r="F56" s="35" t="n">
        <v>0.85</v>
      </c>
      <c r="G56" s="35" t="n">
        <v>0.288</v>
      </c>
      <c r="H56" s="35">
        <f>IFERROR(IF('03_ALTERNATIF'!$J$19="Benefit",(C56-$C$227)/($C$226-$C$227),($C$226-C56)/($C$226-$C$227)),1)</f>
        <v/>
      </c>
      <c r="I56" s="35">
        <f>IFERROR(IF('03_ALTERNATIF'!$K$19="Benefit",(D56-$D$227)/($D$226-$D$227),($D$226-D56)/($D$226-$D$227)),1)</f>
        <v/>
      </c>
      <c r="J56" s="35">
        <f>IFERROR(IF('03_ALTERNATIF'!$L$19="Benefit",(E56-$E$227)/($E$226-$E$227),($E$226-E56)/($E$226-$E$227)),1)</f>
        <v/>
      </c>
      <c r="K56" s="35">
        <f>IFERROR(IF('03_ALTERNATIF'!$M$19="Benefit",(F56-$F$227)/($F$226-$F$227),($F$226-F56)/($F$226-$F$227)),1)</f>
        <v/>
      </c>
      <c r="L56" s="35">
        <f>IFERROR(IF('03_ALTERNATIF'!$N$19="Benefit",(G56-$G$227)/($G$226-$G$227),($G$226-G56)/($G$226-$G$227)),1)</f>
        <v/>
      </c>
      <c r="M56" s="40">
        <f>SUMPRODUCT($H56:$L56,$H$228:$L$228)</f>
        <v/>
      </c>
      <c r="N56" s="10">
        <f>RANK.EQ($M56,$M$4:$M$224,0)</f>
        <v/>
      </c>
    </row>
    <row r="57" ht="15" customHeight="1">
      <c r="A57" s="10" t="inlineStr">
        <is>
          <t>JOB-1069</t>
        </is>
      </c>
      <c r="B57" s="6" t="inlineStr">
        <is>
          <t>Branch Sales Executive</t>
        </is>
      </c>
      <c r="C57" s="35" t="n">
        <v>1</v>
      </c>
      <c r="D57" s="35" t="n">
        <v>1.3333</v>
      </c>
      <c r="E57" s="35" t="n">
        <v>0.8</v>
      </c>
      <c r="F57" s="35" t="n">
        <v>0.85</v>
      </c>
      <c r="G57" s="35" t="n">
        <v>0.288</v>
      </c>
      <c r="H57" s="35">
        <f>IFERROR(IF('03_ALTERNATIF'!$J$19="Benefit",(C57-$C$227)/($C$226-$C$227),($C$226-C57)/($C$226-$C$227)),1)</f>
        <v/>
      </c>
      <c r="I57" s="35">
        <f>IFERROR(IF('03_ALTERNATIF'!$K$19="Benefit",(D57-$D$227)/($D$226-$D$227),($D$226-D57)/($D$226-$D$227)),1)</f>
        <v/>
      </c>
      <c r="J57" s="35">
        <f>IFERROR(IF('03_ALTERNATIF'!$L$19="Benefit",(E57-$E$227)/($E$226-$E$227),($E$226-E57)/($E$226-$E$227)),1)</f>
        <v/>
      </c>
      <c r="K57" s="35">
        <f>IFERROR(IF('03_ALTERNATIF'!$M$19="Benefit",(F57-$F$227)/($F$226-$F$227),($F$226-F57)/($F$226-$F$227)),1)</f>
        <v/>
      </c>
      <c r="L57" s="35">
        <f>IFERROR(IF('03_ALTERNATIF'!$N$19="Benefit",(G57-$G$227)/($G$226-$G$227),($G$226-G57)/($G$226-$G$227)),1)</f>
        <v/>
      </c>
      <c r="M57" s="40">
        <f>SUMPRODUCT($H57:$L57,$H$228:$L$228)</f>
        <v/>
      </c>
      <c r="N57" s="10">
        <f>RANK.EQ($M57,$M$4:$M$224,0)</f>
        <v/>
      </c>
    </row>
    <row r="58" ht="15" customHeight="1">
      <c r="A58" s="10" t="inlineStr">
        <is>
          <t>JOB-1037</t>
        </is>
      </c>
      <c r="B58" s="6" t="inlineStr">
        <is>
          <t>Master Teacher Kimia</t>
        </is>
      </c>
      <c r="C58" s="35" t="n">
        <v>1</v>
      </c>
      <c r="D58" s="35" t="n">
        <v>1.9048</v>
      </c>
      <c r="E58" s="35" t="n">
        <v>0.4</v>
      </c>
      <c r="F58" s="35" t="n">
        <v>0.55</v>
      </c>
      <c r="G58" s="35" t="n">
        <v>0.0639</v>
      </c>
      <c r="H58" s="35">
        <f>IFERROR(IF('03_ALTERNATIF'!$J$19="Benefit",(C58-$C$227)/($C$226-$C$227),($C$226-C58)/($C$226-$C$227)),1)</f>
        <v/>
      </c>
      <c r="I58" s="35">
        <f>IFERROR(IF('03_ALTERNATIF'!$K$19="Benefit",(D58-$D$227)/($D$226-$D$227),($D$226-D58)/($D$226-$D$227)),1)</f>
        <v/>
      </c>
      <c r="J58" s="35">
        <f>IFERROR(IF('03_ALTERNATIF'!$L$19="Benefit",(E58-$E$227)/($E$226-$E$227),($E$226-E58)/($E$226-$E$227)),1)</f>
        <v/>
      </c>
      <c r="K58" s="35">
        <f>IFERROR(IF('03_ALTERNATIF'!$M$19="Benefit",(F58-$F$227)/($F$226-$F$227),($F$226-F58)/($F$226-$F$227)),1)</f>
        <v/>
      </c>
      <c r="L58" s="35">
        <f>IFERROR(IF('03_ALTERNATIF'!$N$19="Benefit",(G58-$G$227)/($G$226-$G$227),($G$226-G58)/($G$226-$G$227)),1)</f>
        <v/>
      </c>
      <c r="M58" s="40">
        <f>SUMPRODUCT($H58:$L58,$H$228:$L$228)</f>
        <v/>
      </c>
      <c r="N58" s="10">
        <f>RANK.EQ($M58,$M$4:$M$224,0)</f>
        <v/>
      </c>
    </row>
    <row r="59" ht="15" customHeight="1">
      <c r="A59" s="10" t="inlineStr">
        <is>
          <t>JOB-1203</t>
        </is>
      </c>
      <c r="B59" s="6" t="inlineStr">
        <is>
          <t>ENGLISH TEACHER FOR KIDS (TK &amp; SD)</t>
        </is>
      </c>
      <c r="C59" s="35" t="n">
        <v>1</v>
      </c>
      <c r="D59" s="35" t="n">
        <v>1.6667</v>
      </c>
      <c r="E59" s="35" t="n">
        <v>0.4</v>
      </c>
      <c r="F59" s="35" t="n">
        <v>0.85</v>
      </c>
      <c r="G59" s="35" t="n">
        <v>0.0566</v>
      </c>
      <c r="H59" s="35">
        <f>IFERROR(IF('03_ALTERNATIF'!$J$19="Benefit",(C59-$C$227)/($C$226-$C$227),($C$226-C59)/($C$226-$C$227)),1)</f>
        <v/>
      </c>
      <c r="I59" s="35">
        <f>IFERROR(IF('03_ALTERNATIF'!$K$19="Benefit",(D59-$D$227)/($D$226-$D$227),($D$226-D59)/($D$226-$D$227)),1)</f>
        <v/>
      </c>
      <c r="J59" s="35">
        <f>IFERROR(IF('03_ALTERNATIF'!$L$19="Benefit",(E59-$E$227)/($E$226-$E$227),($E$226-E59)/($E$226-$E$227)),1)</f>
        <v/>
      </c>
      <c r="K59" s="35">
        <f>IFERROR(IF('03_ALTERNATIF'!$M$19="Benefit",(F59-$F$227)/($F$226-$F$227),($F$226-F59)/($F$226-$F$227)),1)</f>
        <v/>
      </c>
      <c r="L59" s="35">
        <f>IFERROR(IF('03_ALTERNATIF'!$N$19="Benefit",(G59-$G$227)/($G$226-$G$227),($G$226-G59)/($G$226-$G$227)),1)</f>
        <v/>
      </c>
      <c r="M59" s="40">
        <f>SUMPRODUCT($H59:$L59,$H$228:$L$228)</f>
        <v/>
      </c>
      <c r="N59" s="10">
        <f>RANK.EQ($M59,$M$4:$M$224,0)</f>
        <v/>
      </c>
    </row>
    <row r="60" ht="15" customHeight="1">
      <c r="A60" s="10" t="inlineStr">
        <is>
          <t>JOB-1172</t>
        </is>
      </c>
      <c r="B60" s="6" t="inlineStr">
        <is>
          <t>Daily Sales &amp; Field Support</t>
        </is>
      </c>
      <c r="C60" s="35" t="n">
        <v>1</v>
      </c>
      <c r="D60" s="35" t="n">
        <v>1.6667</v>
      </c>
      <c r="E60" s="35" t="n">
        <v>0.4</v>
      </c>
      <c r="F60" s="35" t="n">
        <v>0.85</v>
      </c>
      <c r="G60" s="35" t="n">
        <v>0.0566</v>
      </c>
      <c r="H60" s="35">
        <f>IFERROR(IF('03_ALTERNATIF'!$J$19="Benefit",(C60-$C$227)/($C$226-$C$227),($C$226-C60)/($C$226-$C$227)),1)</f>
        <v/>
      </c>
      <c r="I60" s="35">
        <f>IFERROR(IF('03_ALTERNATIF'!$K$19="Benefit",(D60-$D$227)/($D$226-$D$227),($D$226-D60)/($D$226-$D$227)),1)</f>
        <v/>
      </c>
      <c r="J60" s="35">
        <f>IFERROR(IF('03_ALTERNATIF'!$L$19="Benefit",(E60-$E$227)/($E$226-$E$227),($E$226-E60)/($E$226-$E$227)),1)</f>
        <v/>
      </c>
      <c r="K60" s="35">
        <f>IFERROR(IF('03_ALTERNATIF'!$M$19="Benefit",(F60-$F$227)/($F$226-$F$227),($F$226-F60)/($F$226-$F$227)),1)</f>
        <v/>
      </c>
      <c r="L60" s="35">
        <f>IFERROR(IF('03_ALTERNATIF'!$N$19="Benefit",(G60-$G$227)/($G$226-$G$227),($G$226-G60)/($G$226-$G$227)),1)</f>
        <v/>
      </c>
      <c r="M60" s="40">
        <f>SUMPRODUCT($H60:$L60,$H$228:$L$228)</f>
        <v/>
      </c>
      <c r="N60" s="10">
        <f>RANK.EQ($M60,$M$4:$M$224,0)</f>
        <v/>
      </c>
    </row>
    <row r="61" ht="15" customHeight="1">
      <c r="A61" s="10" t="inlineStr">
        <is>
          <t>JOB-1269</t>
        </is>
      </c>
      <c r="B61" s="6" t="inlineStr">
        <is>
          <t>Guru Bahasa Inggris</t>
        </is>
      </c>
      <c r="C61" s="35" t="n">
        <v>1</v>
      </c>
      <c r="D61" s="35" t="n">
        <v>1.6667</v>
      </c>
      <c r="E61" s="35" t="n">
        <v>0.4</v>
      </c>
      <c r="F61" s="35" t="n">
        <v>0.85</v>
      </c>
      <c r="G61" s="35" t="n">
        <v>0.0566</v>
      </c>
      <c r="H61" s="35">
        <f>IFERROR(IF('03_ALTERNATIF'!$J$19="Benefit",(C61-$C$227)/($C$226-$C$227),($C$226-C61)/($C$226-$C$227)),1)</f>
        <v/>
      </c>
      <c r="I61" s="35">
        <f>IFERROR(IF('03_ALTERNATIF'!$K$19="Benefit",(D61-$D$227)/($D$226-$D$227),($D$226-D61)/($D$226-$D$227)),1)</f>
        <v/>
      </c>
      <c r="J61" s="35">
        <f>IFERROR(IF('03_ALTERNATIF'!$L$19="Benefit",(E61-$E$227)/($E$226-$E$227),($E$226-E61)/($E$226-$E$227)),1)</f>
        <v/>
      </c>
      <c r="K61" s="35">
        <f>IFERROR(IF('03_ALTERNATIF'!$M$19="Benefit",(F61-$F$227)/($F$226-$F$227),($F$226-F61)/($F$226-$F$227)),1)</f>
        <v/>
      </c>
      <c r="L61" s="35">
        <f>IFERROR(IF('03_ALTERNATIF'!$N$19="Benefit",(G61-$G$227)/($G$226-$G$227),($G$226-G61)/($G$226-$G$227)),1)</f>
        <v/>
      </c>
      <c r="M61" s="40">
        <f>SUMPRODUCT($H61:$L61,$H$228:$L$228)</f>
        <v/>
      </c>
      <c r="N61" s="10">
        <f>RANK.EQ($M61,$M$4:$M$224,0)</f>
        <v/>
      </c>
    </row>
    <row r="62" ht="15" customHeight="1">
      <c r="A62" s="10" t="inlineStr">
        <is>
          <t>JOB-1274</t>
        </is>
      </c>
      <c r="B62" s="6" t="inlineStr">
        <is>
          <t>Sales Representatif</t>
        </is>
      </c>
      <c r="C62" s="35" t="n">
        <v>1</v>
      </c>
      <c r="D62" s="35" t="n">
        <v>1.2857</v>
      </c>
      <c r="E62" s="35" t="n">
        <v>0.8</v>
      </c>
      <c r="F62" s="35" t="n">
        <v>0.85</v>
      </c>
      <c r="G62" s="35" t="n">
        <v>0.329</v>
      </c>
      <c r="H62" s="35">
        <f>IFERROR(IF('03_ALTERNATIF'!$J$19="Benefit",(C62-$C$227)/($C$226-$C$227),($C$226-C62)/($C$226-$C$227)),1)</f>
        <v/>
      </c>
      <c r="I62" s="35">
        <f>IFERROR(IF('03_ALTERNATIF'!$K$19="Benefit",(D62-$D$227)/($D$226-$D$227),($D$226-D62)/($D$226-$D$227)),1)</f>
        <v/>
      </c>
      <c r="J62" s="35">
        <f>IFERROR(IF('03_ALTERNATIF'!$L$19="Benefit",(E62-$E$227)/($E$226-$E$227),($E$226-E62)/($E$226-$E$227)),1)</f>
        <v/>
      </c>
      <c r="K62" s="35">
        <f>IFERROR(IF('03_ALTERNATIF'!$M$19="Benefit",(F62-$F$227)/($F$226-$F$227),($F$226-F62)/($F$226-$F$227)),1)</f>
        <v/>
      </c>
      <c r="L62" s="35">
        <f>IFERROR(IF('03_ALTERNATIF'!$N$19="Benefit",(G62-$G$227)/($G$226-$G$227),($G$226-G62)/($G$226-$G$227)),1)</f>
        <v/>
      </c>
      <c r="M62" s="40">
        <f>SUMPRODUCT($H62:$L62,$H$228:$L$228)</f>
        <v/>
      </c>
      <c r="N62" s="10">
        <f>RANK.EQ($M62,$M$4:$M$224,0)</f>
        <v/>
      </c>
    </row>
    <row r="63" ht="15" customHeight="1">
      <c r="A63" s="10" t="inlineStr">
        <is>
          <t>JOB-1314</t>
        </is>
      </c>
      <c r="B63" s="6" t="inlineStr">
        <is>
          <t>Guru Mandarin</t>
        </is>
      </c>
      <c r="C63" s="35" t="n">
        <v>1</v>
      </c>
      <c r="D63" s="35" t="n">
        <v>1.6667</v>
      </c>
      <c r="E63" s="35" t="n">
        <v>0.4</v>
      </c>
      <c r="F63" s="35" t="n">
        <v>0.75</v>
      </c>
      <c r="G63" s="35" t="n">
        <v>0.329</v>
      </c>
      <c r="H63" s="35">
        <f>IFERROR(IF('03_ALTERNATIF'!$J$19="Benefit",(C63-$C$227)/($C$226-$C$227),($C$226-C63)/($C$226-$C$227)),1)</f>
        <v/>
      </c>
      <c r="I63" s="35">
        <f>IFERROR(IF('03_ALTERNATIF'!$K$19="Benefit",(D63-$D$227)/($D$226-$D$227),($D$226-D63)/($D$226-$D$227)),1)</f>
        <v/>
      </c>
      <c r="J63" s="35">
        <f>IFERROR(IF('03_ALTERNATIF'!$L$19="Benefit",(E63-$E$227)/($E$226-$E$227),($E$226-E63)/($E$226-$E$227)),1)</f>
        <v/>
      </c>
      <c r="K63" s="35">
        <f>IFERROR(IF('03_ALTERNATIF'!$M$19="Benefit",(F63-$F$227)/($F$226-$F$227),($F$226-F63)/($F$226-$F$227)),1)</f>
        <v/>
      </c>
      <c r="L63" s="35">
        <f>IFERROR(IF('03_ALTERNATIF'!$N$19="Benefit",(G63-$G$227)/($G$226-$G$227),($G$226-G63)/($G$226-$G$227)),1)</f>
        <v/>
      </c>
      <c r="M63" s="40">
        <f>SUMPRODUCT($H63:$L63,$H$228:$L$228)</f>
        <v/>
      </c>
      <c r="N63" s="10">
        <f>RANK.EQ($M63,$M$4:$M$224,0)</f>
        <v/>
      </c>
    </row>
    <row r="64" ht="15" customHeight="1">
      <c r="A64" s="10" t="inlineStr">
        <is>
          <t>JOB-1162</t>
        </is>
      </c>
      <c r="B64" s="6" t="inlineStr">
        <is>
          <t>Guru Privat Kurikulum Internasional - Jakarta Timur</t>
        </is>
      </c>
      <c r="C64" s="35" t="n">
        <v>1</v>
      </c>
      <c r="D64" s="35" t="n">
        <v>1.3333</v>
      </c>
      <c r="E64" s="35" t="n">
        <v>0.8</v>
      </c>
      <c r="F64" s="35" t="n">
        <v>0.75</v>
      </c>
      <c r="G64" s="35" t="n">
        <v>0.288</v>
      </c>
      <c r="H64" s="35">
        <f>IFERROR(IF('03_ALTERNATIF'!$J$19="Benefit",(C64-$C$227)/($C$226-$C$227),($C$226-C64)/($C$226-$C$227)),1)</f>
        <v/>
      </c>
      <c r="I64" s="35">
        <f>IFERROR(IF('03_ALTERNATIF'!$K$19="Benefit",(D64-$D$227)/($D$226-$D$227),($D$226-D64)/($D$226-$D$227)),1)</f>
        <v/>
      </c>
      <c r="J64" s="35">
        <f>IFERROR(IF('03_ALTERNATIF'!$L$19="Benefit",(E64-$E$227)/($E$226-$E$227),($E$226-E64)/($E$226-$E$227)),1)</f>
        <v/>
      </c>
      <c r="K64" s="35">
        <f>IFERROR(IF('03_ALTERNATIF'!$M$19="Benefit",(F64-$F$227)/($F$226-$F$227),($F$226-F64)/($F$226-$F$227)),1)</f>
        <v/>
      </c>
      <c r="L64" s="35">
        <f>IFERROR(IF('03_ALTERNATIF'!$N$19="Benefit",(G64-$G$227)/($G$226-$G$227),($G$226-G64)/($G$226-$G$227)),1)</f>
        <v/>
      </c>
      <c r="M64" s="40">
        <f>SUMPRODUCT($H64:$L64,$H$228:$L$228)</f>
        <v/>
      </c>
      <c r="N64" s="10">
        <f>RANK.EQ($M64,$M$4:$M$224,0)</f>
        <v/>
      </c>
    </row>
    <row r="65" ht="15" customHeight="1">
      <c r="A65" s="10" t="inlineStr">
        <is>
          <t>JOB-1369</t>
        </is>
      </c>
      <c r="B65" s="6" t="inlineStr">
        <is>
          <t>Sales CounterMoori Family MassageDipromosikanKota</t>
        </is>
      </c>
      <c r="C65" s="35" t="n">
        <v>1</v>
      </c>
      <c r="D65" s="35" t="n">
        <v>1.6667</v>
      </c>
      <c r="E65" s="35" t="n">
        <v>0.4</v>
      </c>
      <c r="F65" s="35" t="n">
        <v>0.75</v>
      </c>
      <c r="G65" s="35" t="n">
        <v>0.0639</v>
      </c>
      <c r="H65" s="35">
        <f>IFERROR(IF('03_ALTERNATIF'!$J$19="Benefit",(C65-$C$227)/($C$226-$C$227),($C$226-C65)/($C$226-$C$227)),1)</f>
        <v/>
      </c>
      <c r="I65" s="35">
        <f>IFERROR(IF('03_ALTERNATIF'!$K$19="Benefit",(D65-$D$227)/($D$226-$D$227),($D$226-D65)/($D$226-$D$227)),1)</f>
        <v/>
      </c>
      <c r="J65" s="35">
        <f>IFERROR(IF('03_ALTERNATIF'!$L$19="Benefit",(E65-$E$227)/($E$226-$E$227),($E$226-E65)/($E$226-$E$227)),1)</f>
        <v/>
      </c>
      <c r="K65" s="35">
        <f>IFERROR(IF('03_ALTERNATIF'!$M$19="Benefit",(F65-$F$227)/($F$226-$F$227),($F$226-F65)/($F$226-$F$227)),1)</f>
        <v/>
      </c>
      <c r="L65" s="35">
        <f>IFERROR(IF('03_ALTERNATIF'!$N$19="Benefit",(G65-$G$227)/($G$226-$G$227),($G$226-G65)/($G$226-$G$227)),1)</f>
        <v/>
      </c>
      <c r="M65" s="40">
        <f>SUMPRODUCT($H65:$L65,$H$228:$L$228)</f>
        <v/>
      </c>
      <c r="N65" s="10">
        <f>RANK.EQ($M65,$M$4:$M$224,0)</f>
        <v/>
      </c>
    </row>
    <row r="66" ht="15" customHeight="1">
      <c r="A66" s="10" t="inlineStr">
        <is>
          <t>JOB-1004</t>
        </is>
      </c>
      <c r="B66" s="6" t="inlineStr">
        <is>
          <t>[Part-time] - Pengajar Bahasa Inggris - Tangerang Selatan</t>
        </is>
      </c>
      <c r="C66" s="35" t="n">
        <v>1</v>
      </c>
      <c r="D66" s="35" t="n">
        <v>1.6667</v>
      </c>
      <c r="E66" s="35" t="n">
        <v>0.4</v>
      </c>
      <c r="F66" s="35" t="n">
        <v>0.65</v>
      </c>
      <c r="G66" s="35" t="n">
        <v>0.329</v>
      </c>
      <c r="H66" s="35">
        <f>IFERROR(IF('03_ALTERNATIF'!$J$19="Benefit",(C66-$C$227)/($C$226-$C$227),($C$226-C66)/($C$226-$C$227)),1)</f>
        <v/>
      </c>
      <c r="I66" s="35">
        <f>IFERROR(IF('03_ALTERNATIF'!$K$19="Benefit",(D66-$D$227)/($D$226-$D$227),($D$226-D66)/($D$226-$D$227)),1)</f>
        <v/>
      </c>
      <c r="J66" s="35">
        <f>IFERROR(IF('03_ALTERNATIF'!$L$19="Benefit",(E66-$E$227)/($E$226-$E$227),($E$226-E66)/($E$226-$E$227)),1)</f>
        <v/>
      </c>
      <c r="K66" s="35">
        <f>IFERROR(IF('03_ALTERNATIF'!$M$19="Benefit",(F66-$F$227)/($F$226-$F$227),($F$226-F66)/($F$226-$F$227)),1)</f>
        <v/>
      </c>
      <c r="L66" s="35">
        <f>IFERROR(IF('03_ALTERNATIF'!$N$19="Benefit",(G66-$G$227)/($G$226-$G$227),($G$226-G66)/($G$226-$G$227)),1)</f>
        <v/>
      </c>
      <c r="M66" s="40">
        <f>SUMPRODUCT($H66:$L66,$H$228:$L$228)</f>
        <v/>
      </c>
      <c r="N66" s="10">
        <f>RANK.EQ($M66,$M$4:$M$224,0)</f>
        <v/>
      </c>
    </row>
    <row r="67" ht="15" customHeight="1">
      <c r="A67" s="10" t="inlineStr">
        <is>
          <t>JOB-1236</t>
        </is>
      </c>
      <c r="B67" s="6" t="inlineStr">
        <is>
          <t>Guru Les Privat - Kota Jakarta Selatan</t>
        </is>
      </c>
      <c r="C67" s="35" t="n">
        <v>1</v>
      </c>
      <c r="D67" s="35" t="n">
        <v>1.1905</v>
      </c>
      <c r="E67" s="35" t="n">
        <v>0.8</v>
      </c>
      <c r="F67" s="35" t="n">
        <v>0.85</v>
      </c>
      <c r="G67" s="35" t="n">
        <v>0.0639</v>
      </c>
      <c r="H67" s="35">
        <f>IFERROR(IF('03_ALTERNATIF'!$J$19="Benefit",(C67-$C$227)/($C$226-$C$227),($C$226-C67)/($C$226-$C$227)),1)</f>
        <v/>
      </c>
      <c r="I67" s="35">
        <f>IFERROR(IF('03_ALTERNATIF'!$K$19="Benefit",(D67-$D$227)/($D$226-$D$227),($D$226-D67)/($D$226-$D$227)),1)</f>
        <v/>
      </c>
      <c r="J67" s="35">
        <f>IFERROR(IF('03_ALTERNATIF'!$L$19="Benefit",(E67-$E$227)/($E$226-$E$227),($E$226-E67)/($E$226-$E$227)),1)</f>
        <v/>
      </c>
      <c r="K67" s="35">
        <f>IFERROR(IF('03_ALTERNATIF'!$M$19="Benefit",(F67-$F$227)/($F$226-$F$227),($F$226-F67)/($F$226-$F$227)),1)</f>
        <v/>
      </c>
      <c r="L67" s="35">
        <f>IFERROR(IF('03_ALTERNATIF'!$N$19="Benefit",(G67-$G$227)/($G$226-$G$227),($G$226-G67)/($G$226-$G$227)),1)</f>
        <v/>
      </c>
      <c r="M67" s="40">
        <f>SUMPRODUCT($H67:$L67,$H$228:$L$228)</f>
        <v/>
      </c>
      <c r="N67" s="10">
        <f>RANK.EQ($M67,$M$4:$M$224,0)</f>
        <v/>
      </c>
    </row>
    <row r="68" ht="15" customHeight="1">
      <c r="A68" s="10" t="inlineStr">
        <is>
          <t>JOB-1001</t>
        </is>
      </c>
      <c r="B68" s="6" t="inlineStr">
        <is>
          <t>English Tutor Part Time</t>
        </is>
      </c>
      <c r="C68" s="35" t="n">
        <v>1</v>
      </c>
      <c r="D68" s="35" t="n">
        <v>1.4286</v>
      </c>
      <c r="E68" s="35" t="n">
        <v>0.4</v>
      </c>
      <c r="F68" s="35" t="n">
        <v>0.95</v>
      </c>
      <c r="G68" s="35" t="n">
        <v>0.0639</v>
      </c>
      <c r="H68" s="35">
        <f>IFERROR(IF('03_ALTERNATIF'!$J$19="Benefit",(C68-$C$227)/($C$226-$C$227),($C$226-C68)/($C$226-$C$227)),1)</f>
        <v/>
      </c>
      <c r="I68" s="35">
        <f>IFERROR(IF('03_ALTERNATIF'!$K$19="Benefit",(D68-$D$227)/($D$226-$D$227),($D$226-D68)/($D$226-$D$227)),1)</f>
        <v/>
      </c>
      <c r="J68" s="35">
        <f>IFERROR(IF('03_ALTERNATIF'!$L$19="Benefit",(E68-$E$227)/($E$226-$E$227),($E$226-E68)/($E$226-$E$227)),1)</f>
        <v/>
      </c>
      <c r="K68" s="35">
        <f>IFERROR(IF('03_ALTERNATIF'!$M$19="Benefit",(F68-$F$227)/($F$226-$F$227),($F$226-F68)/($F$226-$F$227)),1)</f>
        <v/>
      </c>
      <c r="L68" s="35">
        <f>IFERROR(IF('03_ALTERNATIF'!$N$19="Benefit",(G68-$G$227)/($G$226-$G$227),($G$226-G68)/($G$226-$G$227)),1)</f>
        <v/>
      </c>
      <c r="M68" s="40">
        <f>SUMPRODUCT($H68:$L68,$H$228:$L$228)</f>
        <v/>
      </c>
      <c r="N68" s="10">
        <f>RANK.EQ($M68,$M$4:$M$224,0)</f>
        <v/>
      </c>
    </row>
    <row r="69" ht="15" customHeight="1">
      <c r="A69" s="10" t="inlineStr">
        <is>
          <t>JOB-1179</t>
        </is>
      </c>
      <c r="B69" s="6" t="inlineStr">
        <is>
          <t>Tutor MIPA SMP (Part Time)</t>
        </is>
      </c>
      <c r="C69" s="35" t="n">
        <v>1</v>
      </c>
      <c r="D69" s="35" t="n">
        <v>1.4286</v>
      </c>
      <c r="E69" s="35" t="n">
        <v>0.4</v>
      </c>
      <c r="F69" s="35" t="n">
        <v>0.95</v>
      </c>
      <c r="G69" s="35" t="n">
        <v>0.0639</v>
      </c>
      <c r="H69" s="35">
        <f>IFERROR(IF('03_ALTERNATIF'!$J$19="Benefit",(C69-$C$227)/($C$226-$C$227),($C$226-C69)/($C$226-$C$227)),1)</f>
        <v/>
      </c>
      <c r="I69" s="35">
        <f>IFERROR(IF('03_ALTERNATIF'!$K$19="Benefit",(D69-$D$227)/($D$226-$D$227),($D$226-D69)/($D$226-$D$227)),1)</f>
        <v/>
      </c>
      <c r="J69" s="35">
        <f>IFERROR(IF('03_ALTERNATIF'!$L$19="Benefit",(E69-$E$227)/($E$226-$E$227),($E$226-E69)/($E$226-$E$227)),1)</f>
        <v/>
      </c>
      <c r="K69" s="35">
        <f>IFERROR(IF('03_ALTERNATIF'!$M$19="Benefit",(F69-$F$227)/($F$226-$F$227),($F$226-F69)/($F$226-$F$227)),1)</f>
        <v/>
      </c>
      <c r="L69" s="35">
        <f>IFERROR(IF('03_ALTERNATIF'!$N$19="Benefit",(G69-$G$227)/($G$226-$G$227),($G$226-G69)/($G$226-$G$227)),1)</f>
        <v/>
      </c>
      <c r="M69" s="40">
        <f>SUMPRODUCT($H69:$L69,$H$228:$L$228)</f>
        <v/>
      </c>
      <c r="N69" s="10">
        <f>RANK.EQ($M69,$M$4:$M$224,0)</f>
        <v/>
      </c>
    </row>
    <row r="70" ht="15" customHeight="1">
      <c r="A70" s="10" t="inlineStr">
        <is>
          <t>JOB-1311</t>
        </is>
      </c>
      <c r="B70" s="6" t="inlineStr">
        <is>
          <t>Robotics Mentor</t>
        </is>
      </c>
      <c r="C70" s="35" t="n">
        <v>1</v>
      </c>
      <c r="D70" s="35" t="n">
        <v>1.4286</v>
      </c>
      <c r="E70" s="35" t="n">
        <v>0.4</v>
      </c>
      <c r="F70" s="35" t="n">
        <v>0.85</v>
      </c>
      <c r="G70" s="35" t="n">
        <v>0.329</v>
      </c>
      <c r="H70" s="35">
        <f>IFERROR(IF('03_ALTERNATIF'!$J$19="Benefit",(C70-$C$227)/($C$226-$C$227),($C$226-C70)/($C$226-$C$227)),1)</f>
        <v/>
      </c>
      <c r="I70" s="35">
        <f>IFERROR(IF('03_ALTERNATIF'!$K$19="Benefit",(D70-$D$227)/($D$226-$D$227),($D$226-D70)/($D$226-$D$227)),1)</f>
        <v/>
      </c>
      <c r="J70" s="35">
        <f>IFERROR(IF('03_ALTERNATIF'!$L$19="Benefit",(E70-$E$227)/($E$226-$E$227),($E$226-E70)/($E$226-$E$227)),1)</f>
        <v/>
      </c>
      <c r="K70" s="35">
        <f>IFERROR(IF('03_ALTERNATIF'!$M$19="Benefit",(F70-$F$227)/($F$226-$F$227),($F$226-F70)/($F$226-$F$227)),1)</f>
        <v/>
      </c>
      <c r="L70" s="35">
        <f>IFERROR(IF('03_ALTERNATIF'!$N$19="Benefit",(G70-$G$227)/($G$226-$G$227),($G$226-G70)/($G$226-$G$227)),1)</f>
        <v/>
      </c>
      <c r="M70" s="40">
        <f>SUMPRODUCT($H70:$L70,$H$228:$L$228)</f>
        <v/>
      </c>
      <c r="N70" s="10">
        <f>RANK.EQ($M70,$M$4:$M$224,0)</f>
        <v/>
      </c>
    </row>
    <row r="71" ht="15" customHeight="1">
      <c r="A71" s="10" t="inlineStr">
        <is>
          <t>JOB-1309</t>
        </is>
      </c>
      <c r="B71" s="6" t="inlineStr">
        <is>
          <t>Mathematics Mentor</t>
        </is>
      </c>
      <c r="C71" s="35" t="n">
        <v>1</v>
      </c>
      <c r="D71" s="35" t="n">
        <v>1.4286</v>
      </c>
      <c r="E71" s="35" t="n">
        <v>0.4</v>
      </c>
      <c r="F71" s="35" t="n">
        <v>0.85</v>
      </c>
      <c r="G71" s="35" t="n">
        <v>0.288</v>
      </c>
      <c r="H71" s="35">
        <f>IFERROR(IF('03_ALTERNATIF'!$J$19="Benefit",(C71-$C$227)/($C$226-$C$227),($C$226-C71)/($C$226-$C$227)),1)</f>
        <v/>
      </c>
      <c r="I71" s="35">
        <f>IFERROR(IF('03_ALTERNATIF'!$K$19="Benefit",(D71-$D$227)/($D$226-$D$227),($D$226-D71)/($D$226-$D$227)),1)</f>
        <v/>
      </c>
      <c r="J71" s="35">
        <f>IFERROR(IF('03_ALTERNATIF'!$L$19="Benefit",(E71-$E$227)/($E$226-$E$227),($E$226-E71)/($E$226-$E$227)),1)</f>
        <v/>
      </c>
      <c r="K71" s="35">
        <f>IFERROR(IF('03_ALTERNATIF'!$M$19="Benefit",(F71-$F$227)/($F$226-$F$227),($F$226-F71)/($F$226-$F$227)),1)</f>
        <v/>
      </c>
      <c r="L71" s="35">
        <f>IFERROR(IF('03_ALTERNATIF'!$N$19="Benefit",(G71-$G$227)/($G$226-$G$227),($G$226-G71)/($G$226-$G$227)),1)</f>
        <v/>
      </c>
      <c r="M71" s="40">
        <f>SUMPRODUCT($H71:$L71,$H$228:$L$228)</f>
        <v/>
      </c>
      <c r="N71" s="10">
        <f>RANK.EQ($M71,$M$4:$M$224,0)</f>
        <v/>
      </c>
    </row>
    <row r="72" ht="15" customHeight="1">
      <c r="A72" s="10" t="inlineStr">
        <is>
          <t>JOB-1045</t>
        </is>
      </c>
      <c r="B72" s="6" t="inlineStr">
        <is>
          <t>Part-Time Programming Teacher Svarna Sutera</t>
        </is>
      </c>
      <c r="C72" s="35" t="n">
        <v>1</v>
      </c>
      <c r="D72" s="35" t="n">
        <v>1.3333</v>
      </c>
      <c r="E72" s="35" t="n">
        <v>0.4</v>
      </c>
      <c r="F72" s="35" t="n">
        <v>0.85</v>
      </c>
      <c r="G72" s="35" t="n">
        <v>0.0639</v>
      </c>
      <c r="H72" s="35">
        <f>IFERROR(IF('03_ALTERNATIF'!$J$19="Benefit",(C72-$C$227)/($C$226-$C$227),($C$226-C72)/($C$226-$C$227)),1)</f>
        <v/>
      </c>
      <c r="I72" s="35">
        <f>IFERROR(IF('03_ALTERNATIF'!$K$19="Benefit",(D72-$D$227)/($D$226-$D$227),($D$226-D72)/($D$226-$D$227)),1)</f>
        <v/>
      </c>
      <c r="J72" s="35">
        <f>IFERROR(IF('03_ALTERNATIF'!$L$19="Benefit",(E72-$E$227)/($E$226-$E$227),($E$226-E72)/($E$226-$E$227)),1)</f>
        <v/>
      </c>
      <c r="K72" s="35">
        <f>IFERROR(IF('03_ALTERNATIF'!$M$19="Benefit",(F72-$F$227)/($F$226-$F$227),($F$226-F72)/($F$226-$F$227)),1)</f>
        <v/>
      </c>
      <c r="L72" s="35">
        <f>IFERROR(IF('03_ALTERNATIF'!$N$19="Benefit",(G72-$G$227)/($G$226-$G$227),($G$226-G72)/($G$226-$G$227)),1)</f>
        <v/>
      </c>
      <c r="M72" s="40">
        <f>SUMPRODUCT($H72:$L72,$H$228:$L$228)</f>
        <v/>
      </c>
      <c r="N72" s="10">
        <f>RANK.EQ($M72,$M$4:$M$224,0)</f>
        <v/>
      </c>
    </row>
    <row r="73" ht="15" customHeight="1">
      <c r="A73" s="10" t="inlineStr">
        <is>
          <t>JOB-1063</t>
        </is>
      </c>
      <c r="B73" s="6" t="inlineStr">
        <is>
          <t>Psikolog Sekolah</t>
        </is>
      </c>
      <c r="C73" s="35" t="n">
        <v>1</v>
      </c>
      <c r="D73" s="35" t="n">
        <v>1.4286</v>
      </c>
      <c r="E73" s="35" t="n">
        <v>0.4</v>
      </c>
      <c r="F73" s="35" t="n">
        <v>0.55</v>
      </c>
      <c r="G73" s="35" t="n">
        <v>0.329</v>
      </c>
      <c r="H73" s="35">
        <f>IFERROR(IF('03_ALTERNATIF'!$J$19="Benefit",(C73-$C$227)/($C$226-$C$227),($C$226-C73)/($C$226-$C$227)),1)</f>
        <v/>
      </c>
      <c r="I73" s="35">
        <f>IFERROR(IF('03_ALTERNATIF'!$K$19="Benefit",(D73-$D$227)/($D$226-$D$227),($D$226-D73)/($D$226-$D$227)),1)</f>
        <v/>
      </c>
      <c r="J73" s="35">
        <f>IFERROR(IF('03_ALTERNATIF'!$L$19="Benefit",(E73-$E$227)/($E$226-$E$227),($E$226-E73)/($E$226-$E$227)),1)</f>
        <v/>
      </c>
      <c r="K73" s="35">
        <f>IFERROR(IF('03_ALTERNATIF'!$M$19="Benefit",(F73-$F$227)/($F$226-$F$227),($F$226-F73)/($F$226-$F$227)),1)</f>
        <v/>
      </c>
      <c r="L73" s="35">
        <f>IFERROR(IF('03_ALTERNATIF'!$N$19="Benefit",(G73-$G$227)/($G$226-$G$227),($G$226-G73)/($G$226-$G$227)),1)</f>
        <v/>
      </c>
      <c r="M73" s="40">
        <f>SUMPRODUCT($H73:$L73,$H$228:$L$228)</f>
        <v/>
      </c>
      <c r="N73" s="10">
        <f>RANK.EQ($M73,$M$4:$M$224,0)</f>
        <v/>
      </c>
    </row>
    <row r="74" ht="15" customHeight="1">
      <c r="A74" s="10" t="inlineStr">
        <is>
          <t>JOB-1248</t>
        </is>
      </c>
      <c r="B74" s="6" t="inlineStr">
        <is>
          <t>Master Teacher Fisika Jenjang SMA</t>
        </is>
      </c>
      <c r="C74" s="35" t="n">
        <v>1</v>
      </c>
      <c r="D74" s="35" t="n">
        <v>1.3333</v>
      </c>
      <c r="E74" s="35" t="n">
        <v>0.4</v>
      </c>
      <c r="F74" s="35" t="n">
        <v>0.55</v>
      </c>
      <c r="G74" s="35" t="n">
        <v>0.7528</v>
      </c>
      <c r="H74" s="35">
        <f>IFERROR(IF('03_ALTERNATIF'!$J$19="Benefit",(C74-$C$227)/($C$226-$C$227),($C$226-C74)/($C$226-$C$227)),1)</f>
        <v/>
      </c>
      <c r="I74" s="35">
        <f>IFERROR(IF('03_ALTERNATIF'!$K$19="Benefit",(D74-$D$227)/($D$226-$D$227),($D$226-D74)/($D$226-$D$227)),1)</f>
        <v/>
      </c>
      <c r="J74" s="35">
        <f>IFERROR(IF('03_ALTERNATIF'!$L$19="Benefit",(E74-$E$227)/($E$226-$E$227),($E$226-E74)/($E$226-$E$227)),1)</f>
        <v/>
      </c>
      <c r="K74" s="35">
        <f>IFERROR(IF('03_ALTERNATIF'!$M$19="Benefit",(F74-$F$227)/($F$226-$F$227),($F$226-F74)/($F$226-$F$227)),1)</f>
        <v/>
      </c>
      <c r="L74" s="35">
        <f>IFERROR(IF('03_ALTERNATIF'!$N$19="Benefit",(G74-$G$227)/($G$226-$G$227),($G$226-G74)/($G$226-$G$227)),1)</f>
        <v/>
      </c>
      <c r="M74" s="40">
        <f>SUMPRODUCT($H74:$L74,$H$228:$L$228)</f>
        <v/>
      </c>
      <c r="N74" s="10">
        <f>RANK.EQ($M74,$M$4:$M$224,0)</f>
        <v/>
      </c>
    </row>
    <row r="75" ht="15" customHeight="1">
      <c r="A75" s="10" t="inlineStr">
        <is>
          <t>JOB-1322</t>
        </is>
      </c>
      <c r="B75" s="6" t="inlineStr">
        <is>
          <t>Guru IPS</t>
        </is>
      </c>
      <c r="C75" s="35" t="n">
        <v>1</v>
      </c>
      <c r="D75" s="35" t="n">
        <v>1.1905</v>
      </c>
      <c r="E75" s="35" t="n">
        <v>0.4</v>
      </c>
      <c r="F75" s="35" t="n">
        <v>0.85</v>
      </c>
      <c r="G75" s="35" t="n">
        <v>0.288</v>
      </c>
      <c r="H75" s="35">
        <f>IFERROR(IF('03_ALTERNATIF'!$J$19="Benefit",(C75-$C$227)/($C$226-$C$227),($C$226-C75)/($C$226-$C$227)),1)</f>
        <v/>
      </c>
      <c r="I75" s="35">
        <f>IFERROR(IF('03_ALTERNATIF'!$K$19="Benefit",(D75-$D$227)/($D$226-$D$227),($D$226-D75)/($D$226-$D$227)),1)</f>
        <v/>
      </c>
      <c r="J75" s="35">
        <f>IFERROR(IF('03_ALTERNATIF'!$L$19="Benefit",(E75-$E$227)/($E$226-$E$227),($E$226-E75)/($E$226-$E$227)),1)</f>
        <v/>
      </c>
      <c r="K75" s="35">
        <f>IFERROR(IF('03_ALTERNATIF'!$M$19="Benefit",(F75-$F$227)/($F$226-$F$227),($F$226-F75)/($F$226-$F$227)),1)</f>
        <v/>
      </c>
      <c r="L75" s="35">
        <f>IFERROR(IF('03_ALTERNATIF'!$N$19="Benefit",(G75-$G$227)/($G$226-$G$227),($G$226-G75)/($G$226-$G$227)),1)</f>
        <v/>
      </c>
      <c r="M75" s="40">
        <f>SUMPRODUCT($H75:$L75,$H$228:$L$228)</f>
        <v/>
      </c>
      <c r="N75" s="10">
        <f>RANK.EQ($M75,$M$4:$M$224,0)</f>
        <v/>
      </c>
    </row>
    <row r="76" ht="15" customHeight="1">
      <c r="A76" s="10" t="inlineStr">
        <is>
          <t>JOB-1066</t>
        </is>
      </c>
      <c r="B76" s="6" t="inlineStr">
        <is>
          <t>Teknisi</t>
        </is>
      </c>
      <c r="C76" s="35" t="n">
        <v>0.3</v>
      </c>
      <c r="D76" s="35" t="n">
        <v>2</v>
      </c>
      <c r="E76" s="35" t="n">
        <v>1</v>
      </c>
      <c r="F76" s="35" t="n">
        <v>0.95</v>
      </c>
      <c r="G76" s="35" t="n">
        <v>0</v>
      </c>
      <c r="H76" s="35">
        <f>IFERROR(IF('03_ALTERNATIF'!$J$19="Benefit",(C76-$C$227)/($C$226-$C$227),($C$226-C76)/($C$226-$C$227)),1)</f>
        <v/>
      </c>
      <c r="I76" s="35">
        <f>IFERROR(IF('03_ALTERNATIF'!$K$19="Benefit",(D76-$D$227)/($D$226-$D$227),($D$226-D76)/($D$226-$D$227)),1)</f>
        <v/>
      </c>
      <c r="J76" s="35">
        <f>IFERROR(IF('03_ALTERNATIF'!$L$19="Benefit",(E76-$E$227)/($E$226-$E$227),($E$226-E76)/($E$226-$E$227)),1)</f>
        <v/>
      </c>
      <c r="K76" s="35">
        <f>IFERROR(IF('03_ALTERNATIF'!$M$19="Benefit",(F76-$F$227)/($F$226-$F$227),($F$226-F76)/($F$226-$F$227)),1)</f>
        <v/>
      </c>
      <c r="L76" s="35">
        <f>IFERROR(IF('03_ALTERNATIF'!$N$19="Benefit",(G76-$G$227)/($G$226-$G$227),($G$226-G76)/($G$226-$G$227)),1)</f>
        <v/>
      </c>
      <c r="M76" s="40">
        <f>SUMPRODUCT($H76:$L76,$H$228:$L$228)</f>
        <v/>
      </c>
      <c r="N76" s="10">
        <f>RANK.EQ($M76,$M$4:$M$224,0)</f>
        <v/>
      </c>
    </row>
    <row r="77" ht="15" customHeight="1">
      <c r="A77" s="10" t="inlineStr">
        <is>
          <t>JOB-1244</t>
        </is>
      </c>
      <c r="B77" s="6" t="inlineStr">
        <is>
          <t>Master Teacher Matematika</t>
        </is>
      </c>
      <c r="C77" s="35" t="n">
        <v>1</v>
      </c>
      <c r="D77" s="35" t="n">
        <v>1.1905</v>
      </c>
      <c r="E77" s="35" t="n">
        <v>0.4</v>
      </c>
      <c r="F77" s="35" t="n">
        <v>0.65</v>
      </c>
      <c r="G77" s="35" t="n">
        <v>0.288</v>
      </c>
      <c r="H77" s="35">
        <f>IFERROR(IF('03_ALTERNATIF'!$J$19="Benefit",(C77-$C$227)/($C$226-$C$227),($C$226-C77)/($C$226-$C$227)),1)</f>
        <v/>
      </c>
      <c r="I77" s="35">
        <f>IFERROR(IF('03_ALTERNATIF'!$K$19="Benefit",(D77-$D$227)/($D$226-$D$227),($D$226-D77)/($D$226-$D$227)),1)</f>
        <v/>
      </c>
      <c r="J77" s="35">
        <f>IFERROR(IF('03_ALTERNATIF'!$L$19="Benefit",(E77-$E$227)/($E$226-$E$227),($E$226-E77)/($E$226-$E$227)),1)</f>
        <v/>
      </c>
      <c r="K77" s="35">
        <f>IFERROR(IF('03_ALTERNATIF'!$M$19="Benefit",(F77-$F$227)/($F$226-$F$227),($F$226-F77)/($F$226-$F$227)),1)</f>
        <v/>
      </c>
      <c r="L77" s="35">
        <f>IFERROR(IF('03_ALTERNATIF'!$N$19="Benefit",(G77-$G$227)/($G$226-$G$227),($G$226-G77)/($G$226-$G$227)),1)</f>
        <v/>
      </c>
      <c r="M77" s="40">
        <f>SUMPRODUCT($H77:$L77,$H$228:$L$228)</f>
        <v/>
      </c>
      <c r="N77" s="10">
        <f>RANK.EQ($M77,$M$4:$M$224,0)</f>
        <v/>
      </c>
    </row>
    <row r="78" ht="15" customHeight="1">
      <c r="A78" s="10" t="inlineStr">
        <is>
          <t>JOB-1174</t>
        </is>
      </c>
      <c r="B78" s="6" t="inlineStr">
        <is>
          <t>Scholastic Assessment Test</t>
        </is>
      </c>
      <c r="C78" s="35" t="n">
        <v>0.3</v>
      </c>
      <c r="D78" s="35" t="n">
        <v>2</v>
      </c>
      <c r="E78" s="35" t="n">
        <v>1</v>
      </c>
      <c r="F78" s="35" t="n">
        <v>0.85</v>
      </c>
      <c r="G78" s="35" t="n">
        <v>0</v>
      </c>
      <c r="H78" s="35">
        <f>IFERROR(IF('03_ALTERNATIF'!$J$19="Benefit",(C78-$C$227)/($C$226-$C$227),($C$226-C78)/($C$226-$C$227)),1)</f>
        <v/>
      </c>
      <c r="I78" s="35">
        <f>IFERROR(IF('03_ALTERNATIF'!$K$19="Benefit",(D78-$D$227)/($D$226-$D$227),($D$226-D78)/($D$226-$D$227)),1)</f>
        <v/>
      </c>
      <c r="J78" s="35">
        <f>IFERROR(IF('03_ALTERNATIF'!$L$19="Benefit",(E78-$E$227)/($E$226-$E$227),($E$226-E78)/($E$226-$E$227)),1)</f>
        <v/>
      </c>
      <c r="K78" s="35">
        <f>IFERROR(IF('03_ALTERNATIF'!$M$19="Benefit",(F78-$F$227)/($F$226-$F$227),($F$226-F78)/($F$226-$F$227)),1)</f>
        <v/>
      </c>
      <c r="L78" s="35">
        <f>IFERROR(IF('03_ALTERNATIF'!$N$19="Benefit",(G78-$G$227)/($G$226-$G$227),($G$226-G78)/($G$226-$G$227)),1)</f>
        <v/>
      </c>
      <c r="M78" s="40">
        <f>SUMPRODUCT($H78:$L78,$H$228:$L$228)</f>
        <v/>
      </c>
      <c r="N78" s="10">
        <f>RANK.EQ($M78,$M$4:$M$224,0)</f>
        <v/>
      </c>
    </row>
    <row r="79" ht="15" customHeight="1">
      <c r="A79" s="10" t="inlineStr">
        <is>
          <t>JOB-1073</t>
        </is>
      </c>
      <c r="B79" s="6" t="inlineStr">
        <is>
          <t>[Part-time] - Pengajar Bahasa Inggris (IELTS) - Kab. Bogor</t>
        </is>
      </c>
      <c r="C79" s="35" t="n">
        <v>1</v>
      </c>
      <c r="D79" s="35" t="n">
        <v>1.1905</v>
      </c>
      <c r="E79" s="35" t="n">
        <v>0.4</v>
      </c>
      <c r="F79" s="35" t="n">
        <v>0.55</v>
      </c>
      <c r="G79" s="35" t="n">
        <v>0.329</v>
      </c>
      <c r="H79" s="35">
        <f>IFERROR(IF('03_ALTERNATIF'!$J$19="Benefit",(C79-$C$227)/($C$226-$C$227),($C$226-C79)/($C$226-$C$227)),1)</f>
        <v/>
      </c>
      <c r="I79" s="35">
        <f>IFERROR(IF('03_ALTERNATIF'!$K$19="Benefit",(D79-$D$227)/($D$226-$D$227),($D$226-D79)/($D$226-$D$227)),1)</f>
        <v/>
      </c>
      <c r="J79" s="35">
        <f>IFERROR(IF('03_ALTERNATIF'!$L$19="Benefit",(E79-$E$227)/($E$226-$E$227),($E$226-E79)/($E$226-$E$227)),1)</f>
        <v/>
      </c>
      <c r="K79" s="35">
        <f>IFERROR(IF('03_ALTERNATIF'!$M$19="Benefit",(F79-$F$227)/($F$226-$F$227),($F$226-F79)/($F$226-$F$227)),1)</f>
        <v/>
      </c>
      <c r="L79" s="35">
        <f>IFERROR(IF('03_ALTERNATIF'!$N$19="Benefit",(G79-$G$227)/($G$226-$G$227),($G$226-G79)/($G$226-$G$227)),1)</f>
        <v/>
      </c>
      <c r="M79" s="40">
        <f>SUMPRODUCT($H79:$L79,$H$228:$L$228)</f>
        <v/>
      </c>
      <c r="N79" s="10">
        <f>RANK.EQ($M79,$M$4:$M$224,0)</f>
        <v/>
      </c>
    </row>
    <row r="80" ht="15" customHeight="1">
      <c r="A80" s="10" t="inlineStr">
        <is>
          <t>JOB-1202</t>
        </is>
      </c>
      <c r="B80" s="6" t="inlineStr">
        <is>
          <t>kitchen</t>
        </is>
      </c>
      <c r="C80" s="35" t="n">
        <v>0.3</v>
      </c>
      <c r="D80" s="35" t="n">
        <v>2</v>
      </c>
      <c r="E80" s="35" t="n">
        <v>0.8</v>
      </c>
      <c r="F80" s="35" t="n">
        <v>0.95</v>
      </c>
      <c r="G80" s="35" t="n">
        <v>0.06850000000000001</v>
      </c>
      <c r="H80" s="35">
        <f>IFERROR(IF('03_ALTERNATIF'!$J$19="Benefit",(C80-$C$227)/($C$226-$C$227),($C$226-C80)/($C$226-$C$227)),1)</f>
        <v/>
      </c>
      <c r="I80" s="35">
        <f>IFERROR(IF('03_ALTERNATIF'!$K$19="Benefit",(D80-$D$227)/($D$226-$D$227),($D$226-D80)/($D$226-$D$227)),1)</f>
        <v/>
      </c>
      <c r="J80" s="35">
        <f>IFERROR(IF('03_ALTERNATIF'!$L$19="Benefit",(E80-$E$227)/($E$226-$E$227),($E$226-E80)/($E$226-$E$227)),1)</f>
        <v/>
      </c>
      <c r="K80" s="35">
        <f>IFERROR(IF('03_ALTERNATIF'!$M$19="Benefit",(F80-$F$227)/($F$226-$F$227),($F$226-F80)/($F$226-$F$227)),1)</f>
        <v/>
      </c>
      <c r="L80" s="35">
        <f>IFERROR(IF('03_ALTERNATIF'!$N$19="Benefit",(G80-$G$227)/($G$226-$G$227),($G$226-G80)/($G$226-$G$227)),1)</f>
        <v/>
      </c>
      <c r="M80" s="40">
        <f>SUMPRODUCT($H80:$L80,$H$228:$L$228)</f>
        <v/>
      </c>
      <c r="N80" s="10">
        <f>RANK.EQ($M80,$M$4:$M$224,0)</f>
        <v/>
      </c>
    </row>
    <row r="81" ht="15" customHeight="1">
      <c r="A81" s="10" t="inlineStr">
        <is>
          <t>JOB-1361</t>
        </is>
      </c>
      <c r="B81" s="6" t="inlineStr">
        <is>
          <t>Welder GMAW Co</t>
        </is>
      </c>
      <c r="C81" s="35" t="n">
        <v>0.3</v>
      </c>
      <c r="D81" s="35" t="n">
        <v>2</v>
      </c>
      <c r="E81" s="35" t="n">
        <v>0.8</v>
      </c>
      <c r="F81" s="35" t="n">
        <v>0.95</v>
      </c>
      <c r="G81" s="35" t="n">
        <v>0</v>
      </c>
      <c r="H81" s="35">
        <f>IFERROR(IF('03_ALTERNATIF'!$J$19="Benefit",(C81-$C$227)/($C$226-$C$227),($C$226-C81)/($C$226-$C$227)),1)</f>
        <v/>
      </c>
      <c r="I81" s="35">
        <f>IFERROR(IF('03_ALTERNATIF'!$K$19="Benefit",(D81-$D$227)/($D$226-$D$227),($D$226-D81)/($D$226-$D$227)),1)</f>
        <v/>
      </c>
      <c r="J81" s="35">
        <f>IFERROR(IF('03_ALTERNATIF'!$L$19="Benefit",(E81-$E$227)/($E$226-$E$227),($E$226-E81)/($E$226-$E$227)),1)</f>
        <v/>
      </c>
      <c r="K81" s="35">
        <f>IFERROR(IF('03_ALTERNATIF'!$M$19="Benefit",(F81-$F$227)/($F$226-$F$227),($F$226-F81)/($F$226-$F$227)),1)</f>
        <v/>
      </c>
      <c r="L81" s="35">
        <f>IFERROR(IF('03_ALTERNATIF'!$N$19="Benefit",(G81-$G$227)/($G$226-$G$227),($G$226-G81)/($G$226-$G$227)),1)</f>
        <v/>
      </c>
      <c r="M81" s="40">
        <f>SUMPRODUCT($H81:$L81,$H$228:$L$228)</f>
        <v/>
      </c>
      <c r="N81" s="10">
        <f>RANK.EQ($M81,$M$4:$M$224,0)</f>
        <v/>
      </c>
    </row>
    <row r="82" ht="15" customHeight="1">
      <c r="A82" s="10" t="inlineStr">
        <is>
          <t>JOB-1271</t>
        </is>
      </c>
      <c r="B82" s="6" t="inlineStr">
        <is>
          <t>Driver Taksi</t>
        </is>
      </c>
      <c r="C82" s="35" t="n">
        <v>0.3</v>
      </c>
      <c r="D82" s="35" t="n">
        <v>2</v>
      </c>
      <c r="E82" s="35" t="n">
        <v>0.8</v>
      </c>
      <c r="F82" s="35" t="n">
        <v>0.95</v>
      </c>
      <c r="G82" s="35" t="n">
        <v>0</v>
      </c>
      <c r="H82" s="35">
        <f>IFERROR(IF('03_ALTERNATIF'!$J$19="Benefit",(C82-$C$227)/($C$226-$C$227),($C$226-C82)/($C$226-$C$227)),1)</f>
        <v/>
      </c>
      <c r="I82" s="35">
        <f>IFERROR(IF('03_ALTERNATIF'!$K$19="Benefit",(D82-$D$227)/($D$226-$D$227),($D$226-D82)/($D$226-$D$227)),1)</f>
        <v/>
      </c>
      <c r="J82" s="35">
        <f>IFERROR(IF('03_ALTERNATIF'!$L$19="Benefit",(E82-$E$227)/($E$226-$E$227),($E$226-E82)/($E$226-$E$227)),1)</f>
        <v/>
      </c>
      <c r="K82" s="35">
        <f>IFERROR(IF('03_ALTERNATIF'!$M$19="Benefit",(F82-$F$227)/($F$226-$F$227),($F$226-F82)/($F$226-$F$227)),1)</f>
        <v/>
      </c>
      <c r="L82" s="35">
        <f>IFERROR(IF('03_ALTERNATIF'!$N$19="Benefit",(G82-$G$227)/($G$226-$G$227),($G$226-G82)/($G$226-$G$227)),1)</f>
        <v/>
      </c>
      <c r="M82" s="40">
        <f>SUMPRODUCT($H82:$L82,$H$228:$L$228)</f>
        <v/>
      </c>
      <c r="N82" s="10">
        <f>RANK.EQ($M82,$M$4:$M$224,0)</f>
        <v/>
      </c>
    </row>
    <row r="83" ht="15" customHeight="1">
      <c r="A83" s="10" t="inlineStr">
        <is>
          <t>JOB-1254</t>
        </is>
      </c>
      <c r="B83" s="6" t="inlineStr">
        <is>
          <t>Asisten Desain Grafis</t>
        </is>
      </c>
      <c r="C83" s="35" t="n">
        <v>0.3</v>
      </c>
      <c r="D83" s="35" t="n">
        <v>1.9048</v>
      </c>
      <c r="E83" s="35" t="n">
        <v>1</v>
      </c>
      <c r="F83" s="35" t="n">
        <v>0.85</v>
      </c>
      <c r="G83" s="35" t="n">
        <v>0</v>
      </c>
      <c r="H83" s="35">
        <f>IFERROR(IF('03_ALTERNATIF'!$J$19="Benefit",(C83-$C$227)/($C$226-$C$227),($C$226-C83)/($C$226-$C$227)),1)</f>
        <v/>
      </c>
      <c r="I83" s="35">
        <f>IFERROR(IF('03_ALTERNATIF'!$K$19="Benefit",(D83-$D$227)/($D$226-$D$227),($D$226-D83)/($D$226-$D$227)),1)</f>
        <v/>
      </c>
      <c r="J83" s="35">
        <f>IFERROR(IF('03_ALTERNATIF'!$L$19="Benefit",(E83-$E$227)/($E$226-$E$227),($E$226-E83)/($E$226-$E$227)),1)</f>
        <v/>
      </c>
      <c r="K83" s="35">
        <f>IFERROR(IF('03_ALTERNATIF'!$M$19="Benefit",(F83-$F$227)/($F$226-$F$227),($F$226-F83)/($F$226-$F$227)),1)</f>
        <v/>
      </c>
      <c r="L83" s="35">
        <f>IFERROR(IF('03_ALTERNATIF'!$N$19="Benefit",(G83-$G$227)/($G$226-$G$227),($G$226-G83)/($G$226-$G$227)),1)</f>
        <v/>
      </c>
      <c r="M83" s="40">
        <f>SUMPRODUCT($H83:$L83,$H$228:$L$228)</f>
        <v/>
      </c>
      <c r="N83" s="10">
        <f>RANK.EQ($M83,$M$4:$M$224,0)</f>
        <v/>
      </c>
    </row>
    <row r="84" ht="15" customHeight="1">
      <c r="A84" s="10" t="inlineStr">
        <is>
          <t>JOB-1128</t>
        </is>
      </c>
      <c r="B84" s="6" t="inlineStr">
        <is>
          <t>Kitchen worker</t>
        </is>
      </c>
      <c r="C84" s="35" t="n">
        <v>0.3</v>
      </c>
      <c r="D84" s="35" t="n">
        <v>1.9048</v>
      </c>
      <c r="E84" s="35" t="n">
        <v>1</v>
      </c>
      <c r="F84" s="35" t="n">
        <v>0.85</v>
      </c>
      <c r="G84" s="35" t="n">
        <v>0</v>
      </c>
      <c r="H84" s="35">
        <f>IFERROR(IF('03_ALTERNATIF'!$J$19="Benefit",(C84-$C$227)/($C$226-$C$227),($C$226-C84)/($C$226-$C$227)),1)</f>
        <v/>
      </c>
      <c r="I84" s="35">
        <f>IFERROR(IF('03_ALTERNATIF'!$K$19="Benefit",(D84-$D$227)/($D$226-$D$227),($D$226-D84)/($D$226-$D$227)),1)</f>
        <v/>
      </c>
      <c r="J84" s="35">
        <f>IFERROR(IF('03_ALTERNATIF'!$L$19="Benefit",(E84-$E$227)/($E$226-$E$227),($E$226-E84)/($E$226-$E$227)),1)</f>
        <v/>
      </c>
      <c r="K84" s="35">
        <f>IFERROR(IF('03_ALTERNATIF'!$M$19="Benefit",(F84-$F$227)/($F$226-$F$227),($F$226-F84)/($F$226-$F$227)),1)</f>
        <v/>
      </c>
      <c r="L84" s="35">
        <f>IFERROR(IF('03_ALTERNATIF'!$N$19="Benefit",(G84-$G$227)/($G$226-$G$227),($G$226-G84)/($G$226-$G$227)),1)</f>
        <v/>
      </c>
      <c r="M84" s="40">
        <f>SUMPRODUCT($H84:$L84,$H$228:$L$228)</f>
        <v/>
      </c>
      <c r="N84" s="10">
        <f>RANK.EQ($M84,$M$4:$M$224,0)</f>
        <v/>
      </c>
    </row>
    <row r="85" ht="15" customHeight="1">
      <c r="A85" s="10" t="inlineStr">
        <is>
          <t>JOB-1260</t>
        </is>
      </c>
      <c r="B85" s="6" t="inlineStr">
        <is>
          <t>Operator Produksi</t>
        </is>
      </c>
      <c r="C85" s="35" t="n">
        <v>0.3</v>
      </c>
      <c r="D85" s="35" t="n">
        <v>2</v>
      </c>
      <c r="E85" s="35" t="n">
        <v>0.8</v>
      </c>
      <c r="F85" s="35" t="n">
        <v>0.85</v>
      </c>
      <c r="G85" s="35" t="n">
        <v>0.0569</v>
      </c>
      <c r="H85" s="35">
        <f>IFERROR(IF('03_ALTERNATIF'!$J$19="Benefit",(C85-$C$227)/($C$226-$C$227),($C$226-C85)/($C$226-$C$227)),1)</f>
        <v/>
      </c>
      <c r="I85" s="35">
        <f>IFERROR(IF('03_ALTERNATIF'!$K$19="Benefit",(D85-$D$227)/($D$226-$D$227),($D$226-D85)/($D$226-$D$227)),1)</f>
        <v/>
      </c>
      <c r="J85" s="35">
        <f>IFERROR(IF('03_ALTERNATIF'!$L$19="Benefit",(E85-$E$227)/($E$226-$E$227),($E$226-E85)/($E$226-$E$227)),1)</f>
        <v/>
      </c>
      <c r="K85" s="35">
        <f>IFERROR(IF('03_ALTERNATIF'!$M$19="Benefit",(F85-$F$227)/($F$226-$F$227),($F$226-F85)/($F$226-$F$227)),1)</f>
        <v/>
      </c>
      <c r="L85" s="35">
        <f>IFERROR(IF('03_ALTERNATIF'!$N$19="Benefit",(G85-$G$227)/($G$226-$G$227),($G$226-G85)/($G$226-$G$227)),1)</f>
        <v/>
      </c>
      <c r="M85" s="40">
        <f>SUMPRODUCT($H85:$L85,$H$228:$L$228)</f>
        <v/>
      </c>
      <c r="N85" s="10">
        <f>RANK.EQ($M85,$M$4:$M$224,0)</f>
        <v/>
      </c>
    </row>
    <row r="86" ht="15" customHeight="1">
      <c r="A86" s="10" t="inlineStr">
        <is>
          <t>JOB-1362</t>
        </is>
      </c>
      <c r="B86" s="6" t="inlineStr">
        <is>
          <t>Dokter Umum</t>
        </is>
      </c>
      <c r="C86" s="35" t="n">
        <v>0.3</v>
      </c>
      <c r="D86" s="35" t="n">
        <v>2</v>
      </c>
      <c r="E86" s="35" t="n">
        <v>0.8</v>
      </c>
      <c r="F86" s="35" t="n">
        <v>0.85</v>
      </c>
      <c r="G86" s="35" t="n">
        <v>0.0569</v>
      </c>
      <c r="H86" s="35">
        <f>IFERROR(IF('03_ALTERNATIF'!$J$19="Benefit",(C86-$C$227)/($C$226-$C$227),($C$226-C86)/($C$226-$C$227)),1)</f>
        <v/>
      </c>
      <c r="I86" s="35">
        <f>IFERROR(IF('03_ALTERNATIF'!$K$19="Benefit",(D86-$D$227)/($D$226-$D$227),($D$226-D86)/($D$226-$D$227)),1)</f>
        <v/>
      </c>
      <c r="J86" s="35">
        <f>IFERROR(IF('03_ALTERNATIF'!$L$19="Benefit",(E86-$E$227)/($E$226-$E$227),($E$226-E86)/($E$226-$E$227)),1)</f>
        <v/>
      </c>
      <c r="K86" s="35">
        <f>IFERROR(IF('03_ALTERNATIF'!$M$19="Benefit",(F86-$F$227)/($F$226-$F$227),($F$226-F86)/($F$226-$F$227)),1)</f>
        <v/>
      </c>
      <c r="L86" s="35">
        <f>IFERROR(IF('03_ALTERNATIF'!$N$19="Benefit",(G86-$G$227)/($G$226-$G$227),($G$226-G86)/($G$226-$G$227)),1)</f>
        <v/>
      </c>
      <c r="M86" s="40">
        <f>SUMPRODUCT($H86:$L86,$H$228:$L$228)</f>
        <v/>
      </c>
      <c r="N86" s="10">
        <f>RANK.EQ($M86,$M$4:$M$224,0)</f>
        <v/>
      </c>
    </row>
    <row r="87" ht="15" customHeight="1">
      <c r="A87" s="10" t="inlineStr">
        <is>
          <t>JOB-1173</t>
        </is>
      </c>
      <c r="B87" s="6" t="inlineStr">
        <is>
          <t>Kurir J&amp;T Express - NTT</t>
        </is>
      </c>
      <c r="C87" s="35" t="n">
        <v>0.3</v>
      </c>
      <c r="D87" s="35" t="n">
        <v>2</v>
      </c>
      <c r="E87" s="35" t="n">
        <v>0.8</v>
      </c>
      <c r="F87" s="35" t="n">
        <v>0.85</v>
      </c>
      <c r="G87" s="35" t="n">
        <v>0.0418</v>
      </c>
      <c r="H87" s="35">
        <f>IFERROR(IF('03_ALTERNATIF'!$J$19="Benefit",(C87-$C$227)/($C$226-$C$227),($C$226-C87)/($C$226-$C$227)),1)</f>
        <v/>
      </c>
      <c r="I87" s="35">
        <f>IFERROR(IF('03_ALTERNATIF'!$K$19="Benefit",(D87-$D$227)/($D$226-$D$227),($D$226-D87)/($D$226-$D$227)),1)</f>
        <v/>
      </c>
      <c r="J87" s="35">
        <f>IFERROR(IF('03_ALTERNATIF'!$L$19="Benefit",(E87-$E$227)/($E$226-$E$227),($E$226-E87)/($E$226-$E$227)),1)</f>
        <v/>
      </c>
      <c r="K87" s="35">
        <f>IFERROR(IF('03_ALTERNATIF'!$M$19="Benefit",(F87-$F$227)/($F$226-$F$227),($F$226-F87)/($F$226-$F$227)),1)</f>
        <v/>
      </c>
      <c r="L87" s="35">
        <f>IFERROR(IF('03_ALTERNATIF'!$N$19="Benefit",(G87-$G$227)/($G$226-$G$227),($G$226-G87)/($G$226-$G$227)),1)</f>
        <v/>
      </c>
      <c r="M87" s="40">
        <f>SUMPRODUCT($H87:$L87,$H$228:$L$228)</f>
        <v/>
      </c>
      <c r="N87" s="10">
        <f>RANK.EQ($M87,$M$4:$M$224,0)</f>
        <v/>
      </c>
    </row>
    <row r="88" ht="15" customHeight="1">
      <c r="A88" s="10" t="inlineStr">
        <is>
          <t>JOB-1403</t>
        </is>
      </c>
      <c r="B88" s="6" t="inlineStr">
        <is>
          <t>Barista</t>
        </is>
      </c>
      <c r="C88" s="35" t="n">
        <v>0.3</v>
      </c>
      <c r="D88" s="35" t="n">
        <v>2</v>
      </c>
      <c r="E88" s="35" t="n">
        <v>0.8</v>
      </c>
      <c r="F88" s="35" t="n">
        <v>0.85</v>
      </c>
      <c r="G88" s="35" t="n">
        <v>0</v>
      </c>
      <c r="H88" s="35">
        <f>IFERROR(IF('03_ALTERNATIF'!$J$19="Benefit",(C88-$C$227)/($C$226-$C$227),($C$226-C88)/($C$226-$C$227)),1)</f>
        <v/>
      </c>
      <c r="I88" s="35">
        <f>IFERROR(IF('03_ALTERNATIF'!$K$19="Benefit",(D88-$D$227)/($D$226-$D$227),($D$226-D88)/($D$226-$D$227)),1)</f>
        <v/>
      </c>
      <c r="J88" s="35">
        <f>IFERROR(IF('03_ALTERNATIF'!$L$19="Benefit",(E88-$E$227)/($E$226-$E$227),($E$226-E88)/($E$226-$E$227)),1)</f>
        <v/>
      </c>
      <c r="K88" s="35">
        <f>IFERROR(IF('03_ALTERNATIF'!$M$19="Benefit",(F88-$F$227)/($F$226-$F$227),($F$226-F88)/($F$226-$F$227)),1)</f>
        <v/>
      </c>
      <c r="L88" s="35">
        <f>IFERROR(IF('03_ALTERNATIF'!$N$19="Benefit",(G88-$G$227)/($G$226-$G$227),($G$226-G88)/($G$226-$G$227)),1)</f>
        <v/>
      </c>
      <c r="M88" s="40">
        <f>SUMPRODUCT($H88:$L88,$H$228:$L$228)</f>
        <v/>
      </c>
      <c r="N88" s="10">
        <f>RANK.EQ($M88,$M$4:$M$224,0)</f>
        <v/>
      </c>
    </row>
    <row r="89" ht="15" customHeight="1">
      <c r="A89" s="10" t="inlineStr">
        <is>
          <t>JOB-1104</t>
        </is>
      </c>
      <c r="B89" s="6" t="inlineStr">
        <is>
          <t>Tour Product and Operation staff</t>
        </is>
      </c>
      <c r="C89" s="35" t="n">
        <v>0.3</v>
      </c>
      <c r="D89" s="35" t="n">
        <v>2</v>
      </c>
      <c r="E89" s="35" t="n">
        <v>0.8</v>
      </c>
      <c r="F89" s="35" t="n">
        <v>0.85</v>
      </c>
      <c r="G89" s="35" t="n">
        <v>0</v>
      </c>
      <c r="H89" s="35">
        <f>IFERROR(IF('03_ALTERNATIF'!$J$19="Benefit",(C89-$C$227)/($C$226-$C$227),($C$226-C89)/($C$226-$C$227)),1)</f>
        <v/>
      </c>
      <c r="I89" s="35">
        <f>IFERROR(IF('03_ALTERNATIF'!$K$19="Benefit",(D89-$D$227)/($D$226-$D$227),($D$226-D89)/($D$226-$D$227)),1)</f>
        <v/>
      </c>
      <c r="J89" s="35">
        <f>IFERROR(IF('03_ALTERNATIF'!$L$19="Benefit",(E89-$E$227)/($E$226-$E$227),($E$226-E89)/($E$226-$E$227)),1)</f>
        <v/>
      </c>
      <c r="K89" s="35">
        <f>IFERROR(IF('03_ALTERNATIF'!$M$19="Benefit",(F89-$F$227)/($F$226-$F$227),($F$226-F89)/($F$226-$F$227)),1)</f>
        <v/>
      </c>
      <c r="L89" s="35">
        <f>IFERROR(IF('03_ALTERNATIF'!$N$19="Benefit",(G89-$G$227)/($G$226-$G$227),($G$226-G89)/($G$226-$G$227)),1)</f>
        <v/>
      </c>
      <c r="M89" s="40">
        <f>SUMPRODUCT($H89:$L89,$H$228:$L$228)</f>
        <v/>
      </c>
      <c r="N89" s="10">
        <f>RANK.EQ($M89,$M$4:$M$224,0)</f>
        <v/>
      </c>
    </row>
    <row r="90" ht="15" customHeight="1">
      <c r="A90" s="10" t="inlineStr">
        <is>
          <t>JOB-1114</t>
        </is>
      </c>
      <c r="B90" s="6" t="inlineStr">
        <is>
          <t>Asisten Tenaga Kefarmasian (ATK)</t>
        </is>
      </c>
      <c r="C90" s="35" t="n">
        <v>0.3</v>
      </c>
      <c r="D90" s="35" t="n">
        <v>2</v>
      </c>
      <c r="E90" s="35" t="n">
        <v>0.8</v>
      </c>
      <c r="F90" s="35" t="n">
        <v>0.85</v>
      </c>
      <c r="G90" s="35" t="n">
        <v>0</v>
      </c>
      <c r="H90" s="35">
        <f>IFERROR(IF('03_ALTERNATIF'!$J$19="Benefit",(C90-$C$227)/($C$226-$C$227),($C$226-C90)/($C$226-$C$227)),1)</f>
        <v/>
      </c>
      <c r="I90" s="35">
        <f>IFERROR(IF('03_ALTERNATIF'!$K$19="Benefit",(D90-$D$227)/($D$226-$D$227),($D$226-D90)/($D$226-$D$227)),1)</f>
        <v/>
      </c>
      <c r="J90" s="35">
        <f>IFERROR(IF('03_ALTERNATIF'!$L$19="Benefit",(E90-$E$227)/($E$226-$E$227),($E$226-E90)/($E$226-$E$227)),1)</f>
        <v/>
      </c>
      <c r="K90" s="35">
        <f>IFERROR(IF('03_ALTERNATIF'!$M$19="Benefit",(F90-$F$227)/($F$226-$F$227),($F$226-F90)/($F$226-$F$227)),1)</f>
        <v/>
      </c>
      <c r="L90" s="35">
        <f>IFERROR(IF('03_ALTERNATIF'!$N$19="Benefit",(G90-$G$227)/($G$226-$G$227),($G$226-G90)/($G$226-$G$227)),1)</f>
        <v/>
      </c>
      <c r="M90" s="40">
        <f>SUMPRODUCT($H90:$L90,$H$228:$L$228)</f>
        <v/>
      </c>
      <c r="N90" s="10">
        <f>RANK.EQ($M90,$M$4:$M$224,0)</f>
        <v/>
      </c>
    </row>
    <row r="91" ht="15" customHeight="1">
      <c r="A91" s="10" t="inlineStr">
        <is>
          <t>JOB-1302</t>
        </is>
      </c>
      <c r="B91" s="6" t="inlineStr">
        <is>
          <t>Penjaga Stand/Booth</t>
        </is>
      </c>
      <c r="C91" s="35" t="n">
        <v>0.3</v>
      </c>
      <c r="D91" s="35" t="n">
        <v>2</v>
      </c>
      <c r="E91" s="35" t="n">
        <v>0.8</v>
      </c>
      <c r="F91" s="35" t="n">
        <v>0.85</v>
      </c>
      <c r="G91" s="35" t="n">
        <v>0</v>
      </c>
      <c r="H91" s="35">
        <f>IFERROR(IF('03_ALTERNATIF'!$J$19="Benefit",(C91-$C$227)/($C$226-$C$227),($C$226-C91)/($C$226-$C$227)),1)</f>
        <v/>
      </c>
      <c r="I91" s="35">
        <f>IFERROR(IF('03_ALTERNATIF'!$K$19="Benefit",(D91-$D$227)/($D$226-$D$227),($D$226-D91)/($D$226-$D$227)),1)</f>
        <v/>
      </c>
      <c r="J91" s="35">
        <f>IFERROR(IF('03_ALTERNATIF'!$L$19="Benefit",(E91-$E$227)/($E$226-$E$227),($E$226-E91)/($E$226-$E$227)),1)</f>
        <v/>
      </c>
      <c r="K91" s="35">
        <f>IFERROR(IF('03_ALTERNATIF'!$M$19="Benefit",(F91-$F$227)/($F$226-$F$227),($F$226-F91)/($F$226-$F$227)),1)</f>
        <v/>
      </c>
      <c r="L91" s="35">
        <f>IFERROR(IF('03_ALTERNATIF'!$N$19="Benefit",(G91-$G$227)/($G$226-$G$227),($G$226-G91)/($G$226-$G$227)),1)</f>
        <v/>
      </c>
      <c r="M91" s="40">
        <f>SUMPRODUCT($H91:$L91,$H$228:$L$228)</f>
        <v/>
      </c>
      <c r="N91" s="10">
        <f>RANK.EQ($M91,$M$4:$M$224,0)</f>
        <v/>
      </c>
    </row>
    <row r="92" ht="15" customHeight="1">
      <c r="A92" s="10" t="inlineStr">
        <is>
          <t>JOB-1215</t>
        </is>
      </c>
      <c r="B92" s="6" t="inlineStr">
        <is>
          <t>TALENT/CONTENT</t>
        </is>
      </c>
      <c r="C92" s="35" t="n">
        <v>0.3</v>
      </c>
      <c r="D92" s="35" t="n">
        <v>2</v>
      </c>
      <c r="E92" s="35" t="n">
        <v>0.8</v>
      </c>
      <c r="F92" s="35" t="n">
        <v>0.85</v>
      </c>
      <c r="G92" s="35" t="n">
        <v>0</v>
      </c>
      <c r="H92" s="35">
        <f>IFERROR(IF('03_ALTERNATIF'!$J$19="Benefit",(C92-$C$227)/($C$226-$C$227),($C$226-C92)/($C$226-$C$227)),1)</f>
        <v/>
      </c>
      <c r="I92" s="35">
        <f>IFERROR(IF('03_ALTERNATIF'!$K$19="Benefit",(D92-$D$227)/($D$226-$D$227),($D$226-D92)/($D$226-$D$227)),1)</f>
        <v/>
      </c>
      <c r="J92" s="35">
        <f>IFERROR(IF('03_ALTERNATIF'!$L$19="Benefit",(E92-$E$227)/($E$226-$E$227),($E$226-E92)/($E$226-$E$227)),1)</f>
        <v/>
      </c>
      <c r="K92" s="35">
        <f>IFERROR(IF('03_ALTERNATIF'!$M$19="Benefit",(F92-$F$227)/($F$226-$F$227),($F$226-F92)/($F$226-$F$227)),1)</f>
        <v/>
      </c>
      <c r="L92" s="35">
        <f>IFERROR(IF('03_ALTERNATIF'!$N$19="Benefit",(G92-$G$227)/($G$226-$G$227),($G$226-G92)/($G$226-$G$227)),1)</f>
        <v/>
      </c>
      <c r="M92" s="40">
        <f>SUMPRODUCT($H92:$L92,$H$228:$L$228)</f>
        <v/>
      </c>
      <c r="N92" s="10">
        <f>RANK.EQ($M92,$M$4:$M$224,0)</f>
        <v/>
      </c>
    </row>
    <row r="93" ht="15" customHeight="1">
      <c r="A93" s="10" t="inlineStr">
        <is>
          <t>JOB-1056</t>
        </is>
      </c>
      <c r="B93" s="6" t="inlineStr">
        <is>
          <t>Customer Service Attendence Playground anak Klender</t>
        </is>
      </c>
      <c r="C93" s="35" t="n">
        <v>0.3</v>
      </c>
      <c r="D93" s="35" t="n">
        <v>1.9048</v>
      </c>
      <c r="E93" s="35" t="n">
        <v>0.8</v>
      </c>
      <c r="F93" s="35" t="n">
        <v>0.95</v>
      </c>
      <c r="G93" s="35" t="n">
        <v>0.109</v>
      </c>
      <c r="H93" s="35">
        <f>IFERROR(IF('03_ALTERNATIF'!$J$19="Benefit",(C93-$C$227)/($C$226-$C$227),($C$226-C93)/($C$226-$C$227)),1)</f>
        <v/>
      </c>
      <c r="I93" s="35">
        <f>IFERROR(IF('03_ALTERNATIF'!$K$19="Benefit",(D93-$D$227)/($D$226-$D$227),($D$226-D93)/($D$226-$D$227)),1)</f>
        <v/>
      </c>
      <c r="J93" s="35">
        <f>IFERROR(IF('03_ALTERNATIF'!$L$19="Benefit",(E93-$E$227)/($E$226-$E$227),($E$226-E93)/($E$226-$E$227)),1)</f>
        <v/>
      </c>
      <c r="K93" s="35">
        <f>IFERROR(IF('03_ALTERNATIF'!$M$19="Benefit",(F93-$F$227)/($F$226-$F$227),($F$226-F93)/($F$226-$F$227)),1)</f>
        <v/>
      </c>
      <c r="L93" s="35">
        <f>IFERROR(IF('03_ALTERNATIF'!$N$19="Benefit",(G93-$G$227)/($G$226-$G$227),($G$226-G93)/($G$226-$G$227)),1)</f>
        <v/>
      </c>
      <c r="M93" s="40">
        <f>SUMPRODUCT($H93:$L93,$H$228:$L$228)</f>
        <v/>
      </c>
      <c r="N93" s="10">
        <f>RANK.EQ($M93,$M$4:$M$224,0)</f>
        <v/>
      </c>
    </row>
    <row r="94" ht="15" customHeight="1">
      <c r="A94" s="10" t="inlineStr">
        <is>
          <t>JOB-1023</t>
        </is>
      </c>
      <c r="B94" s="6" t="inlineStr">
        <is>
          <t>Customer Service Weekend (Part-Time)</t>
        </is>
      </c>
      <c r="C94" s="35" t="n">
        <v>0.3</v>
      </c>
      <c r="D94" s="35" t="n">
        <v>1.7381</v>
      </c>
      <c r="E94" s="35" t="n">
        <v>1</v>
      </c>
      <c r="F94" s="35" t="n">
        <v>0.95</v>
      </c>
      <c r="G94" s="35" t="n">
        <v>0.109</v>
      </c>
      <c r="H94" s="35">
        <f>IFERROR(IF('03_ALTERNATIF'!$J$19="Benefit",(C94-$C$227)/($C$226-$C$227),($C$226-C94)/($C$226-$C$227)),1)</f>
        <v/>
      </c>
      <c r="I94" s="35">
        <f>IFERROR(IF('03_ALTERNATIF'!$K$19="Benefit",(D94-$D$227)/($D$226-$D$227),($D$226-D94)/($D$226-$D$227)),1)</f>
        <v/>
      </c>
      <c r="J94" s="35">
        <f>IFERROR(IF('03_ALTERNATIF'!$L$19="Benefit",(E94-$E$227)/($E$226-$E$227),($E$226-E94)/($E$226-$E$227)),1)</f>
        <v/>
      </c>
      <c r="K94" s="35">
        <f>IFERROR(IF('03_ALTERNATIF'!$M$19="Benefit",(F94-$F$227)/($F$226-$F$227),($F$226-F94)/($F$226-$F$227)),1)</f>
        <v/>
      </c>
      <c r="L94" s="35">
        <f>IFERROR(IF('03_ALTERNATIF'!$N$19="Benefit",(G94-$G$227)/($G$226-$G$227),($G$226-G94)/($G$226-$G$227)),1)</f>
        <v/>
      </c>
      <c r="M94" s="40">
        <f>SUMPRODUCT($H94:$L94,$H$228:$L$228)</f>
        <v/>
      </c>
      <c r="N94" s="10">
        <f>RANK.EQ($M94,$M$4:$M$224,0)</f>
        <v/>
      </c>
    </row>
    <row r="95" ht="15" customHeight="1">
      <c r="A95" s="10" t="inlineStr">
        <is>
          <t>JOB-1007</t>
        </is>
      </c>
      <c r="B95" s="6" t="inlineStr">
        <is>
          <t>Surveyor</t>
        </is>
      </c>
      <c r="C95" s="35" t="n">
        <v>0.3</v>
      </c>
      <c r="D95" s="35" t="n">
        <v>1.9048</v>
      </c>
      <c r="E95" s="35" t="n">
        <v>0.8</v>
      </c>
      <c r="F95" s="35" t="n">
        <v>0.95</v>
      </c>
      <c r="G95" s="35" t="n">
        <v>0.0569</v>
      </c>
      <c r="H95" s="35">
        <f>IFERROR(IF('03_ALTERNATIF'!$J$19="Benefit",(C95-$C$227)/($C$226-$C$227),($C$226-C95)/($C$226-$C$227)),1)</f>
        <v/>
      </c>
      <c r="I95" s="35">
        <f>IFERROR(IF('03_ALTERNATIF'!$K$19="Benefit",(D95-$D$227)/($D$226-$D$227),($D$226-D95)/($D$226-$D$227)),1)</f>
        <v/>
      </c>
      <c r="J95" s="35">
        <f>IFERROR(IF('03_ALTERNATIF'!$L$19="Benefit",(E95-$E$227)/($E$226-$E$227),($E$226-E95)/($E$226-$E$227)),1)</f>
        <v/>
      </c>
      <c r="K95" s="35">
        <f>IFERROR(IF('03_ALTERNATIF'!$M$19="Benefit",(F95-$F$227)/($F$226-$F$227),($F$226-F95)/($F$226-$F$227)),1)</f>
        <v/>
      </c>
      <c r="L95" s="35">
        <f>IFERROR(IF('03_ALTERNATIF'!$N$19="Benefit",(G95-$G$227)/($G$226-$G$227),($G$226-G95)/($G$226-$G$227)),1)</f>
        <v/>
      </c>
      <c r="M95" s="40">
        <f>SUMPRODUCT($H95:$L95,$H$228:$L$228)</f>
        <v/>
      </c>
      <c r="N95" s="10">
        <f>RANK.EQ($M95,$M$4:$M$224,0)</f>
        <v/>
      </c>
    </row>
    <row r="96" ht="15" customHeight="1">
      <c r="A96" s="10" t="inlineStr">
        <is>
          <t>JOB-1247</t>
        </is>
      </c>
      <c r="B96" s="6" t="inlineStr">
        <is>
          <t>Crew Playground</t>
        </is>
      </c>
      <c r="C96" s="35" t="n">
        <v>0.3</v>
      </c>
      <c r="D96" s="35" t="n">
        <v>1.9048</v>
      </c>
      <c r="E96" s="35" t="n">
        <v>0.8</v>
      </c>
      <c r="F96" s="35" t="n">
        <v>0.95</v>
      </c>
      <c r="G96" s="35" t="n">
        <v>0</v>
      </c>
      <c r="H96" s="35">
        <f>IFERROR(IF('03_ALTERNATIF'!$J$19="Benefit",(C96-$C$227)/($C$226-$C$227),($C$226-C96)/($C$226-$C$227)),1)</f>
        <v/>
      </c>
      <c r="I96" s="35">
        <f>IFERROR(IF('03_ALTERNATIF'!$K$19="Benefit",(D96-$D$227)/($D$226-$D$227),($D$226-D96)/($D$226-$D$227)),1)</f>
        <v/>
      </c>
      <c r="J96" s="35">
        <f>IFERROR(IF('03_ALTERNATIF'!$L$19="Benefit",(E96-$E$227)/($E$226-$E$227),($E$226-E96)/($E$226-$E$227)),1)</f>
        <v/>
      </c>
      <c r="K96" s="35">
        <f>IFERROR(IF('03_ALTERNATIF'!$M$19="Benefit",(F96-$F$227)/($F$226-$F$227),($F$226-F96)/($F$226-$F$227)),1)</f>
        <v/>
      </c>
      <c r="L96" s="35">
        <f>IFERROR(IF('03_ALTERNATIF'!$N$19="Benefit",(G96-$G$227)/($G$226-$G$227),($G$226-G96)/($G$226-$G$227)),1)</f>
        <v/>
      </c>
      <c r="M96" s="40">
        <f>SUMPRODUCT($H96:$L96,$H$228:$L$228)</f>
        <v/>
      </c>
      <c r="N96" s="10">
        <f>RANK.EQ($M96,$M$4:$M$224,0)</f>
        <v/>
      </c>
    </row>
    <row r="97" ht="15" customHeight="1">
      <c r="A97" s="10" t="inlineStr">
        <is>
          <t>JOB-1188</t>
        </is>
      </c>
      <c r="B97" s="6" t="inlineStr">
        <is>
          <t>Staff Operasional Perusahaan</t>
        </is>
      </c>
      <c r="C97" s="35" t="n">
        <v>0.3</v>
      </c>
      <c r="D97" s="35" t="n">
        <v>2</v>
      </c>
      <c r="E97" s="35" t="n">
        <v>0.8</v>
      </c>
      <c r="F97" s="35" t="n">
        <v>0.75</v>
      </c>
      <c r="G97" s="35" t="n">
        <v>0</v>
      </c>
      <c r="H97" s="35">
        <f>IFERROR(IF('03_ALTERNATIF'!$J$19="Benefit",(C97-$C$227)/($C$226-$C$227),($C$226-C97)/($C$226-$C$227)),1)</f>
        <v/>
      </c>
      <c r="I97" s="35">
        <f>IFERROR(IF('03_ALTERNATIF'!$K$19="Benefit",(D97-$D$227)/($D$226-$D$227),($D$226-D97)/($D$226-$D$227)),1)</f>
        <v/>
      </c>
      <c r="J97" s="35">
        <f>IFERROR(IF('03_ALTERNATIF'!$L$19="Benefit",(E97-$E$227)/($E$226-$E$227),($E$226-E97)/($E$226-$E$227)),1)</f>
        <v/>
      </c>
      <c r="K97" s="35">
        <f>IFERROR(IF('03_ALTERNATIF'!$M$19="Benefit",(F97-$F$227)/($F$226-$F$227),($F$226-F97)/($F$226-$F$227)),1)</f>
        <v/>
      </c>
      <c r="L97" s="35">
        <f>IFERROR(IF('03_ALTERNATIF'!$N$19="Benefit",(G97-$G$227)/($G$226-$G$227),($G$226-G97)/($G$226-$G$227)),1)</f>
        <v/>
      </c>
      <c r="M97" s="40">
        <f>SUMPRODUCT($H97:$L97,$H$228:$L$228)</f>
        <v/>
      </c>
      <c r="N97" s="10">
        <f>RANK.EQ($M97,$M$4:$M$224,0)</f>
        <v/>
      </c>
    </row>
    <row r="98" ht="15" customHeight="1">
      <c r="A98" s="10" t="inlineStr">
        <is>
          <t>JOB-1022</t>
        </is>
      </c>
      <c r="B98" s="6" t="inlineStr">
        <is>
          <t>Content Creator Wanted In Bali</t>
        </is>
      </c>
      <c r="C98" s="35" t="n">
        <v>0.3</v>
      </c>
      <c r="D98" s="35" t="n">
        <v>1.9048</v>
      </c>
      <c r="E98" s="35" t="n">
        <v>1</v>
      </c>
      <c r="F98" s="35" t="n">
        <v>0.65</v>
      </c>
      <c r="G98" s="35" t="n">
        <v>0</v>
      </c>
      <c r="H98" s="35">
        <f>IFERROR(IF('03_ALTERNATIF'!$J$19="Benefit",(C98-$C$227)/($C$226-$C$227),($C$226-C98)/($C$226-$C$227)),1)</f>
        <v/>
      </c>
      <c r="I98" s="35">
        <f>IFERROR(IF('03_ALTERNATIF'!$K$19="Benefit",(D98-$D$227)/($D$226-$D$227),($D$226-D98)/($D$226-$D$227)),1)</f>
        <v/>
      </c>
      <c r="J98" s="35">
        <f>IFERROR(IF('03_ALTERNATIF'!$L$19="Benefit",(E98-$E$227)/($E$226-$E$227),($E$226-E98)/($E$226-$E$227)),1)</f>
        <v/>
      </c>
      <c r="K98" s="35">
        <f>IFERROR(IF('03_ALTERNATIF'!$M$19="Benefit",(F98-$F$227)/($F$226-$F$227),($F$226-F98)/($F$226-$F$227)),1)</f>
        <v/>
      </c>
      <c r="L98" s="35">
        <f>IFERROR(IF('03_ALTERNATIF'!$N$19="Benefit",(G98-$G$227)/($G$226-$G$227),($G$226-G98)/($G$226-$G$227)),1)</f>
        <v/>
      </c>
      <c r="M98" s="40">
        <f>SUMPRODUCT($H98:$L98,$H$228:$L$228)</f>
        <v/>
      </c>
      <c r="N98" s="10">
        <f>RANK.EQ($M98,$M$4:$M$224,0)</f>
        <v/>
      </c>
    </row>
    <row r="99" ht="15" customHeight="1">
      <c r="A99" s="10" t="inlineStr">
        <is>
          <t>JOB-1226</t>
        </is>
      </c>
      <c r="B99" s="6" t="inlineStr">
        <is>
          <t>Staf Dapur</t>
        </is>
      </c>
      <c r="C99" s="35" t="n">
        <v>0.3</v>
      </c>
      <c r="D99" s="35" t="n">
        <v>1.9048</v>
      </c>
      <c r="E99" s="35" t="n">
        <v>0.8</v>
      </c>
      <c r="F99" s="35" t="n">
        <v>0.85</v>
      </c>
      <c r="G99" s="35" t="n">
        <v>0.0569</v>
      </c>
      <c r="H99" s="35">
        <f>IFERROR(IF('03_ALTERNATIF'!$J$19="Benefit",(C99-$C$227)/($C$226-$C$227),($C$226-C99)/($C$226-$C$227)),1)</f>
        <v/>
      </c>
      <c r="I99" s="35">
        <f>IFERROR(IF('03_ALTERNATIF'!$K$19="Benefit",(D99-$D$227)/($D$226-$D$227),($D$226-D99)/($D$226-$D$227)),1)</f>
        <v/>
      </c>
      <c r="J99" s="35">
        <f>IFERROR(IF('03_ALTERNATIF'!$L$19="Benefit",(E99-$E$227)/($E$226-$E$227),($E$226-E99)/($E$226-$E$227)),1)</f>
        <v/>
      </c>
      <c r="K99" s="35">
        <f>IFERROR(IF('03_ALTERNATIF'!$M$19="Benefit",(F99-$F$227)/($F$226-$F$227),($F$226-F99)/($F$226-$F$227)),1)</f>
        <v/>
      </c>
      <c r="L99" s="35">
        <f>IFERROR(IF('03_ALTERNATIF'!$N$19="Benefit",(G99-$G$227)/($G$226-$G$227),($G$226-G99)/($G$226-$G$227)),1)</f>
        <v/>
      </c>
      <c r="M99" s="40">
        <f>SUMPRODUCT($H99:$L99,$H$228:$L$228)</f>
        <v/>
      </c>
      <c r="N99" s="10">
        <f>RANK.EQ($M99,$M$4:$M$224,0)</f>
        <v/>
      </c>
    </row>
    <row r="100" ht="15" customHeight="1">
      <c r="A100" s="10" t="inlineStr">
        <is>
          <t>JOB-1111</t>
        </is>
      </c>
      <c r="B100" s="6" t="inlineStr">
        <is>
          <t>Barista Part Time Area Jakarta Utara</t>
        </is>
      </c>
      <c r="C100" s="35" t="n">
        <v>0.3</v>
      </c>
      <c r="D100" s="35" t="n">
        <v>1.6667</v>
      </c>
      <c r="E100" s="35" t="n">
        <v>1</v>
      </c>
      <c r="F100" s="35" t="n">
        <v>0.95</v>
      </c>
      <c r="G100" s="35" t="n">
        <v>0.0663</v>
      </c>
      <c r="H100" s="35">
        <f>IFERROR(IF('03_ALTERNATIF'!$J$19="Benefit",(C100-$C$227)/($C$226-$C$227),($C$226-C100)/($C$226-$C$227)),1)</f>
        <v/>
      </c>
      <c r="I100" s="35">
        <f>IFERROR(IF('03_ALTERNATIF'!$K$19="Benefit",(D100-$D$227)/($D$226-$D$227),($D$226-D100)/($D$226-$D$227)),1)</f>
        <v/>
      </c>
      <c r="J100" s="35">
        <f>IFERROR(IF('03_ALTERNATIF'!$L$19="Benefit",(E100-$E$227)/($E$226-$E$227),($E$226-E100)/($E$226-$E$227)),1)</f>
        <v/>
      </c>
      <c r="K100" s="35">
        <f>IFERROR(IF('03_ALTERNATIF'!$M$19="Benefit",(F100-$F$227)/($F$226-$F$227),($F$226-F100)/($F$226-$F$227)),1)</f>
        <v/>
      </c>
      <c r="L100" s="35">
        <f>IFERROR(IF('03_ALTERNATIF'!$N$19="Benefit",(G100-$G$227)/($G$226-$G$227),($G$226-G100)/($G$226-$G$227)),1)</f>
        <v/>
      </c>
      <c r="M100" s="40">
        <f>SUMPRODUCT($H100:$L100,$H$228:$L$228)</f>
        <v/>
      </c>
      <c r="N100" s="10">
        <f>RANK.EQ($M100,$M$4:$M$224,0)</f>
        <v/>
      </c>
    </row>
    <row r="101" ht="15" customHeight="1">
      <c r="A101" s="10" t="inlineStr">
        <is>
          <t>JOB-1223</t>
        </is>
      </c>
      <c r="B101" s="6" t="inlineStr">
        <is>
          <t>konten kreator</t>
        </is>
      </c>
      <c r="C101" s="35" t="n">
        <v>0.3</v>
      </c>
      <c r="D101" s="35" t="n">
        <v>1.6667</v>
      </c>
      <c r="E101" s="35" t="n">
        <v>1</v>
      </c>
      <c r="F101" s="35" t="n">
        <v>0.95</v>
      </c>
      <c r="G101" s="35" t="n">
        <v>0.0569</v>
      </c>
      <c r="H101" s="35">
        <f>IFERROR(IF('03_ALTERNATIF'!$J$19="Benefit",(C101-$C$227)/($C$226-$C$227),($C$226-C101)/($C$226-$C$227)),1)</f>
        <v/>
      </c>
      <c r="I101" s="35">
        <f>IFERROR(IF('03_ALTERNATIF'!$K$19="Benefit",(D101-$D$227)/($D$226-$D$227),($D$226-D101)/($D$226-$D$227)),1)</f>
        <v/>
      </c>
      <c r="J101" s="35">
        <f>IFERROR(IF('03_ALTERNATIF'!$L$19="Benefit",(E101-$E$227)/($E$226-$E$227),($E$226-E101)/($E$226-$E$227)),1)</f>
        <v/>
      </c>
      <c r="K101" s="35">
        <f>IFERROR(IF('03_ALTERNATIF'!$M$19="Benefit",(F101-$F$227)/($F$226-$F$227),($F$226-F101)/($F$226-$F$227)),1)</f>
        <v/>
      </c>
      <c r="L101" s="35">
        <f>IFERROR(IF('03_ALTERNATIF'!$N$19="Benefit",(G101-$G$227)/($G$226-$G$227),($G$226-G101)/($G$226-$G$227)),1)</f>
        <v/>
      </c>
      <c r="M101" s="40">
        <f>SUMPRODUCT($H101:$L101,$H$228:$L$228)</f>
        <v/>
      </c>
      <c r="N101" s="10">
        <f>RANK.EQ($M101,$M$4:$M$224,0)</f>
        <v/>
      </c>
    </row>
    <row r="102" ht="15" customHeight="1">
      <c r="A102" s="10" t="inlineStr">
        <is>
          <t>JOB-1197</t>
        </is>
      </c>
      <c r="B102" s="6" t="inlineStr">
        <is>
          <t>Kurir Motor</t>
        </is>
      </c>
      <c r="C102" s="35" t="n">
        <v>0.3</v>
      </c>
      <c r="D102" s="35" t="n">
        <v>1.9048</v>
      </c>
      <c r="E102" s="35" t="n">
        <v>0.8</v>
      </c>
      <c r="F102" s="35" t="n">
        <v>0.85</v>
      </c>
      <c r="G102" s="35" t="n">
        <v>0.0418</v>
      </c>
      <c r="H102" s="35">
        <f>IFERROR(IF('03_ALTERNATIF'!$J$19="Benefit",(C102-$C$227)/($C$226-$C$227),($C$226-C102)/($C$226-$C$227)),1)</f>
        <v/>
      </c>
      <c r="I102" s="35">
        <f>IFERROR(IF('03_ALTERNATIF'!$K$19="Benefit",(D102-$D$227)/($D$226-$D$227),($D$226-D102)/($D$226-$D$227)),1)</f>
        <v/>
      </c>
      <c r="J102" s="35">
        <f>IFERROR(IF('03_ALTERNATIF'!$L$19="Benefit",(E102-$E$227)/($E$226-$E$227),($E$226-E102)/($E$226-$E$227)),1)</f>
        <v/>
      </c>
      <c r="K102" s="35">
        <f>IFERROR(IF('03_ALTERNATIF'!$M$19="Benefit",(F102-$F$227)/($F$226-$F$227),($F$226-F102)/($F$226-$F$227)),1)</f>
        <v/>
      </c>
      <c r="L102" s="35">
        <f>IFERROR(IF('03_ALTERNATIF'!$N$19="Benefit",(G102-$G$227)/($G$226-$G$227),($G$226-G102)/($G$226-$G$227)),1)</f>
        <v/>
      </c>
      <c r="M102" s="40">
        <f>SUMPRODUCT($H102:$L102,$H$228:$L$228)</f>
        <v/>
      </c>
      <c r="N102" s="10">
        <f>RANK.EQ($M102,$M$4:$M$224,0)</f>
        <v/>
      </c>
    </row>
    <row r="103" ht="15" customHeight="1">
      <c r="A103" s="10" t="inlineStr">
        <is>
          <t>JOB-1306</t>
        </is>
      </c>
      <c r="B103" s="6" t="inlineStr">
        <is>
          <t>Penerjemah Bahasa Korea</t>
        </is>
      </c>
      <c r="C103" s="35" t="n">
        <v>0.3</v>
      </c>
      <c r="D103" s="35" t="n">
        <v>1.8095</v>
      </c>
      <c r="E103" s="35" t="n">
        <v>0.8</v>
      </c>
      <c r="F103" s="35" t="n">
        <v>0.95</v>
      </c>
      <c r="G103" s="35" t="n">
        <v>0</v>
      </c>
      <c r="H103" s="35">
        <f>IFERROR(IF('03_ALTERNATIF'!$J$19="Benefit",(C103-$C$227)/($C$226-$C$227),($C$226-C103)/($C$226-$C$227)),1)</f>
        <v/>
      </c>
      <c r="I103" s="35">
        <f>IFERROR(IF('03_ALTERNATIF'!$K$19="Benefit",(D103-$D$227)/($D$226-$D$227),($D$226-D103)/($D$226-$D$227)),1)</f>
        <v/>
      </c>
      <c r="J103" s="35">
        <f>IFERROR(IF('03_ALTERNATIF'!$L$19="Benefit",(E103-$E$227)/($E$226-$E$227),($E$226-E103)/($E$226-$E$227)),1)</f>
        <v/>
      </c>
      <c r="K103" s="35">
        <f>IFERROR(IF('03_ALTERNATIF'!$M$19="Benefit",(F103-$F$227)/($F$226-$F$227),($F$226-F103)/($F$226-$F$227)),1)</f>
        <v/>
      </c>
      <c r="L103" s="35">
        <f>IFERROR(IF('03_ALTERNATIF'!$N$19="Benefit",(G103-$G$227)/($G$226-$G$227),($G$226-G103)/($G$226-$G$227)),1)</f>
        <v/>
      </c>
      <c r="M103" s="40">
        <f>SUMPRODUCT($H103:$L103,$H$228:$L$228)</f>
        <v/>
      </c>
      <c r="N103" s="10">
        <f>RANK.EQ($M103,$M$4:$M$224,0)</f>
        <v/>
      </c>
    </row>
    <row r="104" ht="15" customHeight="1">
      <c r="A104" s="10" t="inlineStr">
        <is>
          <t>JOB-1132</t>
        </is>
      </c>
      <c r="B104" s="6" t="inlineStr">
        <is>
          <t>Karyawan jaga store laundry sepatu</t>
        </is>
      </c>
      <c r="C104" s="35" t="n">
        <v>0.3</v>
      </c>
      <c r="D104" s="35" t="n">
        <v>2</v>
      </c>
      <c r="E104" s="35" t="n">
        <v>0.8</v>
      </c>
      <c r="F104" s="35" t="n">
        <v>0.65</v>
      </c>
      <c r="G104" s="35" t="n">
        <v>0</v>
      </c>
      <c r="H104" s="35">
        <f>IFERROR(IF('03_ALTERNATIF'!$J$19="Benefit",(C104-$C$227)/($C$226-$C$227),($C$226-C104)/($C$226-$C$227)),1)</f>
        <v/>
      </c>
      <c r="I104" s="35">
        <f>IFERROR(IF('03_ALTERNATIF'!$K$19="Benefit",(D104-$D$227)/($D$226-$D$227),($D$226-D104)/($D$226-$D$227)),1)</f>
        <v/>
      </c>
      <c r="J104" s="35">
        <f>IFERROR(IF('03_ALTERNATIF'!$L$19="Benefit",(E104-$E$227)/($E$226-$E$227),($E$226-E104)/($E$226-$E$227)),1)</f>
        <v/>
      </c>
      <c r="K104" s="35">
        <f>IFERROR(IF('03_ALTERNATIF'!$M$19="Benefit",(F104-$F$227)/($F$226-$F$227),($F$226-F104)/($F$226-$F$227)),1)</f>
        <v/>
      </c>
      <c r="L104" s="35">
        <f>IFERROR(IF('03_ALTERNATIF'!$N$19="Benefit",(G104-$G$227)/($G$226-$G$227),($G$226-G104)/($G$226-$G$227)),1)</f>
        <v/>
      </c>
      <c r="M104" s="40">
        <f>SUMPRODUCT($H104:$L104,$H$228:$L$228)</f>
        <v/>
      </c>
      <c r="N104" s="10">
        <f>RANK.EQ($M104,$M$4:$M$224,0)</f>
        <v/>
      </c>
    </row>
    <row r="105" ht="15" customHeight="1">
      <c r="A105" s="10" t="inlineStr">
        <is>
          <t>JOB-1205</t>
        </is>
      </c>
      <c r="B105" s="6" t="inlineStr">
        <is>
          <t>Barista</t>
        </is>
      </c>
      <c r="C105" s="35" t="n">
        <v>0.3</v>
      </c>
      <c r="D105" s="35" t="n">
        <v>1.6667</v>
      </c>
      <c r="E105" s="35" t="n">
        <v>1</v>
      </c>
      <c r="F105" s="35" t="n">
        <v>0.85</v>
      </c>
      <c r="G105" s="35" t="n">
        <v>0.0663</v>
      </c>
      <c r="H105" s="35">
        <f>IFERROR(IF('03_ALTERNATIF'!$J$19="Benefit",(C105-$C$227)/($C$226-$C$227),($C$226-C105)/($C$226-$C$227)),1)</f>
        <v/>
      </c>
      <c r="I105" s="35">
        <f>IFERROR(IF('03_ALTERNATIF'!$K$19="Benefit",(D105-$D$227)/($D$226-$D$227),($D$226-D105)/($D$226-$D$227)),1)</f>
        <v/>
      </c>
      <c r="J105" s="35">
        <f>IFERROR(IF('03_ALTERNATIF'!$L$19="Benefit",(E105-$E$227)/($E$226-$E$227),($E$226-E105)/($E$226-$E$227)),1)</f>
        <v/>
      </c>
      <c r="K105" s="35">
        <f>IFERROR(IF('03_ALTERNATIF'!$M$19="Benefit",(F105-$F$227)/($F$226-$F$227),($F$226-F105)/($F$226-$F$227)),1)</f>
        <v/>
      </c>
      <c r="L105" s="35">
        <f>IFERROR(IF('03_ALTERNATIF'!$N$19="Benefit",(G105-$G$227)/($G$226-$G$227),($G$226-G105)/($G$226-$G$227)),1)</f>
        <v/>
      </c>
      <c r="M105" s="40">
        <f>SUMPRODUCT($H105:$L105,$H$228:$L$228)</f>
        <v/>
      </c>
      <c r="N105" s="10">
        <f>RANK.EQ($M105,$M$4:$M$224,0)</f>
        <v/>
      </c>
    </row>
    <row r="106" ht="15" customHeight="1">
      <c r="A106" s="10" t="inlineStr">
        <is>
          <t>JOB-1193</t>
        </is>
      </c>
      <c r="B106" s="6" t="inlineStr">
        <is>
          <t>Marketplace Customer Service (Part-Time &amp; Remote)</t>
        </is>
      </c>
      <c r="C106" s="35" t="n">
        <v>0.3</v>
      </c>
      <c r="D106" s="35" t="n">
        <v>1.6667</v>
      </c>
      <c r="E106" s="35" t="n">
        <v>1</v>
      </c>
      <c r="F106" s="35" t="n">
        <v>0.85</v>
      </c>
      <c r="G106" s="35" t="n">
        <v>0.0402</v>
      </c>
      <c r="H106" s="35">
        <f>IFERROR(IF('03_ALTERNATIF'!$J$19="Benefit",(C106-$C$227)/($C$226-$C$227),($C$226-C106)/($C$226-$C$227)),1)</f>
        <v/>
      </c>
      <c r="I106" s="35">
        <f>IFERROR(IF('03_ALTERNATIF'!$K$19="Benefit",(D106-$D$227)/($D$226-$D$227),($D$226-D106)/($D$226-$D$227)),1)</f>
        <v/>
      </c>
      <c r="J106" s="35">
        <f>IFERROR(IF('03_ALTERNATIF'!$L$19="Benefit",(E106-$E$227)/($E$226-$E$227),($E$226-E106)/($E$226-$E$227)),1)</f>
        <v/>
      </c>
      <c r="K106" s="35">
        <f>IFERROR(IF('03_ALTERNATIF'!$M$19="Benefit",(F106-$F$227)/($F$226-$F$227),($F$226-F106)/($F$226-$F$227)),1)</f>
        <v/>
      </c>
      <c r="L106" s="35">
        <f>IFERROR(IF('03_ALTERNATIF'!$N$19="Benefit",(G106-$G$227)/($G$226-$G$227),($G$226-G106)/($G$226-$G$227)),1)</f>
        <v/>
      </c>
      <c r="M106" s="40">
        <f>SUMPRODUCT($H106:$L106,$H$228:$L$228)</f>
        <v/>
      </c>
      <c r="N106" s="10">
        <f>RANK.EQ($M106,$M$4:$M$224,0)</f>
        <v/>
      </c>
    </row>
    <row r="107" ht="15" customHeight="1">
      <c r="A107" s="10" t="inlineStr">
        <is>
          <t>JOB-1367</t>
        </is>
      </c>
      <c r="B107" s="6" t="inlineStr">
        <is>
          <t>SURVEYOR NOO (NEW OPENING OUTLET)CV. MULTIRASA PRI</t>
        </is>
      </c>
      <c r="C107" s="35" t="n">
        <v>0.3</v>
      </c>
      <c r="D107" s="35" t="n">
        <v>1.9048</v>
      </c>
      <c r="E107" s="35" t="n">
        <v>0.8</v>
      </c>
      <c r="F107" s="35" t="n">
        <v>0.75</v>
      </c>
      <c r="G107" s="35" t="n">
        <v>0</v>
      </c>
      <c r="H107" s="35">
        <f>IFERROR(IF('03_ALTERNATIF'!$J$19="Benefit",(C107-$C$227)/($C$226-$C$227),($C$226-C107)/($C$226-$C$227)),1)</f>
        <v/>
      </c>
      <c r="I107" s="35">
        <f>IFERROR(IF('03_ALTERNATIF'!$K$19="Benefit",(D107-$D$227)/($D$226-$D$227),($D$226-D107)/($D$226-$D$227)),1)</f>
        <v/>
      </c>
      <c r="J107" s="35">
        <f>IFERROR(IF('03_ALTERNATIF'!$L$19="Benefit",(E107-$E$227)/($E$226-$E$227),($E$226-E107)/($E$226-$E$227)),1)</f>
        <v/>
      </c>
      <c r="K107" s="35">
        <f>IFERROR(IF('03_ALTERNATIF'!$M$19="Benefit",(F107-$F$227)/($F$226-$F$227),($F$226-F107)/($F$226-$F$227)),1)</f>
        <v/>
      </c>
      <c r="L107" s="35">
        <f>IFERROR(IF('03_ALTERNATIF'!$N$19="Benefit",(G107-$G$227)/($G$226-$G$227),($G$226-G107)/($G$226-$G$227)),1)</f>
        <v/>
      </c>
      <c r="M107" s="40">
        <f>SUMPRODUCT($H107:$L107,$H$228:$L$228)</f>
        <v/>
      </c>
      <c r="N107" s="10">
        <f>RANK.EQ($M107,$M$4:$M$224,0)</f>
        <v/>
      </c>
    </row>
    <row r="108" ht="15" customHeight="1">
      <c r="A108" s="10" t="inlineStr">
        <is>
          <t>JOB-1234</t>
        </is>
      </c>
      <c r="B108" s="6" t="inlineStr">
        <is>
          <t>Graphic Designer</t>
        </is>
      </c>
      <c r="C108" s="35" t="n">
        <v>0.3</v>
      </c>
      <c r="D108" s="35" t="n">
        <v>1.8095</v>
      </c>
      <c r="E108" s="35" t="n">
        <v>1</v>
      </c>
      <c r="F108" s="35" t="n">
        <v>0.65</v>
      </c>
      <c r="G108" s="35" t="n">
        <v>0</v>
      </c>
      <c r="H108" s="35">
        <f>IFERROR(IF('03_ALTERNATIF'!$J$19="Benefit",(C108-$C$227)/($C$226-$C$227),($C$226-C108)/($C$226-$C$227)),1)</f>
        <v/>
      </c>
      <c r="I108" s="35">
        <f>IFERROR(IF('03_ALTERNATIF'!$K$19="Benefit",(D108-$D$227)/($D$226-$D$227),($D$226-D108)/($D$226-$D$227)),1)</f>
        <v/>
      </c>
      <c r="J108" s="35">
        <f>IFERROR(IF('03_ALTERNATIF'!$L$19="Benefit",(E108-$E$227)/($E$226-$E$227),($E$226-E108)/($E$226-$E$227)),1)</f>
        <v/>
      </c>
      <c r="K108" s="35">
        <f>IFERROR(IF('03_ALTERNATIF'!$M$19="Benefit",(F108-$F$227)/($F$226-$F$227),($F$226-F108)/($F$226-$F$227)),1)</f>
        <v/>
      </c>
      <c r="L108" s="35">
        <f>IFERROR(IF('03_ALTERNATIF'!$N$19="Benefit",(G108-$G$227)/($G$226-$G$227),($G$226-G108)/($G$226-$G$227)),1)</f>
        <v/>
      </c>
      <c r="M108" s="40">
        <f>SUMPRODUCT($H108:$L108,$H$228:$L$228)</f>
        <v/>
      </c>
      <c r="N108" s="10">
        <f>RANK.EQ($M108,$M$4:$M$224,0)</f>
        <v/>
      </c>
    </row>
    <row r="109" ht="15" customHeight="1">
      <c r="A109" s="10" t="inlineStr">
        <is>
          <t>JOB-1252</t>
        </is>
      </c>
      <c r="B109" s="6" t="inlineStr">
        <is>
          <t>Videographer</t>
        </is>
      </c>
      <c r="C109" s="35" t="n">
        <v>0.3</v>
      </c>
      <c r="D109" s="35" t="n">
        <v>1.6667</v>
      </c>
      <c r="E109" s="35" t="n">
        <v>1</v>
      </c>
      <c r="F109" s="35" t="n">
        <v>0.85</v>
      </c>
      <c r="G109" s="35" t="n">
        <v>0</v>
      </c>
      <c r="H109" s="35">
        <f>IFERROR(IF('03_ALTERNATIF'!$J$19="Benefit",(C109-$C$227)/($C$226-$C$227),($C$226-C109)/($C$226-$C$227)),1)</f>
        <v/>
      </c>
      <c r="I109" s="35">
        <f>IFERROR(IF('03_ALTERNATIF'!$K$19="Benefit",(D109-$D$227)/($D$226-$D$227),($D$226-D109)/($D$226-$D$227)),1)</f>
        <v/>
      </c>
      <c r="J109" s="35">
        <f>IFERROR(IF('03_ALTERNATIF'!$L$19="Benefit",(E109-$E$227)/($E$226-$E$227),($E$226-E109)/($E$226-$E$227)),1)</f>
        <v/>
      </c>
      <c r="K109" s="35">
        <f>IFERROR(IF('03_ALTERNATIF'!$M$19="Benefit",(F109-$F$227)/($F$226-$F$227),($F$226-F109)/($F$226-$F$227)),1)</f>
        <v/>
      </c>
      <c r="L109" s="35">
        <f>IFERROR(IF('03_ALTERNATIF'!$N$19="Benefit",(G109-$G$227)/($G$226-$G$227),($G$226-G109)/($G$226-$G$227)),1)</f>
        <v/>
      </c>
      <c r="M109" s="40">
        <f>SUMPRODUCT($H109:$L109,$H$228:$L$228)</f>
        <v/>
      </c>
      <c r="N109" s="10">
        <f>RANK.EQ($M109,$M$4:$M$224,0)</f>
        <v/>
      </c>
    </row>
    <row r="110" ht="15" customHeight="1">
      <c r="A110" s="10" t="inlineStr">
        <is>
          <t>JOB-1012</t>
        </is>
      </c>
      <c r="B110" s="6" t="inlineStr">
        <is>
          <t>Social Media &amp; Content Growth</t>
        </is>
      </c>
      <c r="C110" s="35" t="n">
        <v>0.3</v>
      </c>
      <c r="D110" s="35" t="n">
        <v>1.6667</v>
      </c>
      <c r="E110" s="35" t="n">
        <v>1</v>
      </c>
      <c r="F110" s="35" t="n">
        <v>0.85</v>
      </c>
      <c r="G110" s="35" t="n">
        <v>0</v>
      </c>
      <c r="H110" s="35">
        <f>IFERROR(IF('03_ALTERNATIF'!$J$19="Benefit",(C110-$C$227)/($C$226-$C$227),($C$226-C110)/($C$226-$C$227)),1)</f>
        <v/>
      </c>
      <c r="I110" s="35">
        <f>IFERROR(IF('03_ALTERNATIF'!$K$19="Benefit",(D110-$D$227)/($D$226-$D$227),($D$226-D110)/($D$226-$D$227)),1)</f>
        <v/>
      </c>
      <c r="J110" s="35">
        <f>IFERROR(IF('03_ALTERNATIF'!$L$19="Benefit",(E110-$E$227)/($E$226-$E$227),($E$226-E110)/($E$226-$E$227)),1)</f>
        <v/>
      </c>
      <c r="K110" s="35">
        <f>IFERROR(IF('03_ALTERNATIF'!$M$19="Benefit",(F110-$F$227)/($F$226-$F$227),($F$226-F110)/($F$226-$F$227)),1)</f>
        <v/>
      </c>
      <c r="L110" s="35">
        <f>IFERROR(IF('03_ALTERNATIF'!$N$19="Benefit",(G110-$G$227)/($G$226-$G$227),($G$226-G110)/($G$226-$G$227)),1)</f>
        <v/>
      </c>
      <c r="M110" s="40">
        <f>SUMPRODUCT($H110:$L110,$H$228:$L$228)</f>
        <v/>
      </c>
      <c r="N110" s="10">
        <f>RANK.EQ($M110,$M$4:$M$224,0)</f>
        <v/>
      </c>
    </row>
    <row r="111" ht="15" customHeight="1">
      <c r="A111" s="10" t="inlineStr">
        <is>
          <t>JOB-1253</t>
        </is>
      </c>
      <c r="B111" s="6" t="inlineStr">
        <is>
          <t>Finance Admin</t>
        </is>
      </c>
      <c r="C111" s="35" t="n">
        <v>0.3</v>
      </c>
      <c r="D111" s="35" t="n">
        <v>1.8095</v>
      </c>
      <c r="E111" s="35" t="n">
        <v>0.8</v>
      </c>
      <c r="F111" s="35" t="n">
        <v>0.85</v>
      </c>
      <c r="G111" s="35" t="n">
        <v>0.0569</v>
      </c>
      <c r="H111" s="35">
        <f>IFERROR(IF('03_ALTERNATIF'!$J$19="Benefit",(C111-$C$227)/($C$226-$C$227),($C$226-C111)/($C$226-$C$227)),1)</f>
        <v/>
      </c>
      <c r="I111" s="35">
        <f>IFERROR(IF('03_ALTERNATIF'!$K$19="Benefit",(D111-$D$227)/($D$226-$D$227),($D$226-D111)/($D$226-$D$227)),1)</f>
        <v/>
      </c>
      <c r="J111" s="35">
        <f>IFERROR(IF('03_ALTERNATIF'!$L$19="Benefit",(E111-$E$227)/($E$226-$E$227),($E$226-E111)/($E$226-$E$227)),1)</f>
        <v/>
      </c>
      <c r="K111" s="35">
        <f>IFERROR(IF('03_ALTERNATIF'!$M$19="Benefit",(F111-$F$227)/($F$226-$F$227),($F$226-F111)/($F$226-$F$227)),1)</f>
        <v/>
      </c>
      <c r="L111" s="35">
        <f>IFERROR(IF('03_ALTERNATIF'!$N$19="Benefit",(G111-$G$227)/($G$226-$G$227),($G$226-G111)/($G$226-$G$227)),1)</f>
        <v/>
      </c>
      <c r="M111" s="40">
        <f>SUMPRODUCT($H111:$L111,$H$228:$L$228)</f>
        <v/>
      </c>
      <c r="N111" s="10">
        <f>RANK.EQ($M111,$M$4:$M$224,0)</f>
        <v/>
      </c>
    </row>
    <row r="112" ht="15" customHeight="1">
      <c r="A112" s="10" t="inlineStr">
        <is>
          <t>JOB-1025</t>
        </is>
      </c>
      <c r="B112" s="6" t="inlineStr">
        <is>
          <t>Mitra Office Boy : jakarta Selatan (Jagakarsa Plus)</t>
        </is>
      </c>
      <c r="C112" s="35" t="n">
        <v>0.3</v>
      </c>
      <c r="D112" s="35" t="n">
        <v>1.8095</v>
      </c>
      <c r="E112" s="35" t="n">
        <v>0.8</v>
      </c>
      <c r="F112" s="35" t="n">
        <v>0.85</v>
      </c>
      <c r="G112" s="35" t="n">
        <v>0</v>
      </c>
      <c r="H112" s="35">
        <f>IFERROR(IF('03_ALTERNATIF'!$J$19="Benefit",(C112-$C$227)/($C$226-$C$227),($C$226-C112)/($C$226-$C$227)),1)</f>
        <v/>
      </c>
      <c r="I112" s="35">
        <f>IFERROR(IF('03_ALTERNATIF'!$K$19="Benefit",(D112-$D$227)/($D$226-$D$227),($D$226-D112)/($D$226-$D$227)),1)</f>
        <v/>
      </c>
      <c r="J112" s="35">
        <f>IFERROR(IF('03_ALTERNATIF'!$L$19="Benefit",(E112-$E$227)/($E$226-$E$227),($E$226-E112)/($E$226-$E$227)),1)</f>
        <v/>
      </c>
      <c r="K112" s="35">
        <f>IFERROR(IF('03_ALTERNATIF'!$M$19="Benefit",(F112-$F$227)/($F$226-$F$227),($F$226-F112)/($F$226-$F$227)),1)</f>
        <v/>
      </c>
      <c r="L112" s="35">
        <f>IFERROR(IF('03_ALTERNATIF'!$N$19="Benefit",(G112-$G$227)/($G$226-$G$227),($G$226-G112)/($G$226-$G$227)),1)</f>
        <v/>
      </c>
      <c r="M112" s="40">
        <f>SUMPRODUCT($H112:$L112,$H$228:$L$228)</f>
        <v/>
      </c>
      <c r="N112" s="10">
        <f>RANK.EQ($M112,$M$4:$M$224,0)</f>
        <v/>
      </c>
    </row>
    <row r="113" ht="15" customHeight="1">
      <c r="A113" s="10" t="inlineStr">
        <is>
          <t>JOB-1058</t>
        </is>
      </c>
      <c r="B113" s="6" t="inlineStr">
        <is>
          <t>Customer Service Advisor</t>
        </is>
      </c>
      <c r="C113" s="35" t="n">
        <v>0.3</v>
      </c>
      <c r="D113" s="35" t="n">
        <v>1.8095</v>
      </c>
      <c r="E113" s="35" t="n">
        <v>0.8</v>
      </c>
      <c r="F113" s="35" t="n">
        <v>0.85</v>
      </c>
      <c r="G113" s="35" t="n">
        <v>0</v>
      </c>
      <c r="H113" s="35">
        <f>IFERROR(IF('03_ALTERNATIF'!$J$19="Benefit",(C113-$C$227)/($C$226-$C$227),($C$226-C113)/($C$226-$C$227)),1)</f>
        <v/>
      </c>
      <c r="I113" s="35">
        <f>IFERROR(IF('03_ALTERNATIF'!$K$19="Benefit",(D113-$D$227)/($D$226-$D$227),($D$226-D113)/($D$226-$D$227)),1)</f>
        <v/>
      </c>
      <c r="J113" s="35">
        <f>IFERROR(IF('03_ALTERNATIF'!$L$19="Benefit",(E113-$E$227)/($E$226-$E$227),($E$226-E113)/($E$226-$E$227)),1)</f>
        <v/>
      </c>
      <c r="K113" s="35">
        <f>IFERROR(IF('03_ALTERNATIF'!$M$19="Benefit",(F113-$F$227)/($F$226-$F$227),($F$226-F113)/($F$226-$F$227)),1)</f>
        <v/>
      </c>
      <c r="L113" s="35">
        <f>IFERROR(IF('03_ALTERNATIF'!$N$19="Benefit",(G113-$G$227)/($G$226-$G$227),($G$226-G113)/($G$226-$G$227)),1)</f>
        <v/>
      </c>
      <c r="M113" s="40">
        <f>SUMPRODUCT($H113:$L113,$H$228:$L$228)</f>
        <v/>
      </c>
      <c r="N113" s="10">
        <f>RANK.EQ($M113,$M$4:$M$224,0)</f>
        <v/>
      </c>
    </row>
    <row r="114" ht="15" customHeight="1">
      <c r="A114" s="10" t="inlineStr">
        <is>
          <t>JOB-1165</t>
        </is>
      </c>
      <c r="B114" s="6" t="inlineStr">
        <is>
          <t>Promotor</t>
        </is>
      </c>
      <c r="C114" s="35" t="n">
        <v>0.3</v>
      </c>
      <c r="D114" s="35" t="n">
        <v>1.5476</v>
      </c>
      <c r="E114" s="35" t="n">
        <v>1</v>
      </c>
      <c r="F114" s="35" t="n">
        <v>0.95</v>
      </c>
      <c r="G114" s="35" t="n">
        <v>0.0563</v>
      </c>
      <c r="H114" s="35">
        <f>IFERROR(IF('03_ALTERNATIF'!$J$19="Benefit",(C114-$C$227)/($C$226-$C$227),($C$226-C114)/($C$226-$C$227)),1)</f>
        <v/>
      </c>
      <c r="I114" s="35">
        <f>IFERROR(IF('03_ALTERNATIF'!$K$19="Benefit",(D114-$D$227)/($D$226-$D$227),($D$226-D114)/($D$226-$D$227)),1)</f>
        <v/>
      </c>
      <c r="J114" s="35">
        <f>IFERROR(IF('03_ALTERNATIF'!$L$19="Benefit",(E114-$E$227)/($E$226-$E$227),($E$226-E114)/($E$226-$E$227)),1)</f>
        <v/>
      </c>
      <c r="K114" s="35">
        <f>IFERROR(IF('03_ALTERNATIF'!$M$19="Benefit",(F114-$F$227)/($F$226-$F$227),($F$226-F114)/($F$226-$F$227)),1)</f>
        <v/>
      </c>
      <c r="L114" s="35">
        <f>IFERROR(IF('03_ALTERNATIF'!$N$19="Benefit",(G114-$G$227)/($G$226-$G$227),($G$226-G114)/($G$226-$G$227)),1)</f>
        <v/>
      </c>
      <c r="M114" s="40">
        <f>SUMPRODUCT($H114:$L114,$H$228:$L$228)</f>
        <v/>
      </c>
      <c r="N114" s="10">
        <f>RANK.EQ($M114,$M$4:$M$224,0)</f>
        <v/>
      </c>
    </row>
    <row r="115" ht="15" customHeight="1">
      <c r="A115" s="10" t="inlineStr">
        <is>
          <t>JOB-1049</t>
        </is>
      </c>
      <c r="B115" s="6" t="inlineStr">
        <is>
          <t>Barista</t>
        </is>
      </c>
      <c r="C115" s="35" t="n">
        <v>0.3</v>
      </c>
      <c r="D115" s="35" t="n">
        <v>2</v>
      </c>
      <c r="E115" s="35" t="n">
        <v>0.4</v>
      </c>
      <c r="F115" s="35" t="n">
        <v>0.95</v>
      </c>
      <c r="G115" s="35" t="n">
        <v>0.06850000000000001</v>
      </c>
      <c r="H115" s="35">
        <f>IFERROR(IF('03_ALTERNATIF'!$J$19="Benefit",(C115-$C$227)/($C$226-$C$227),($C$226-C115)/($C$226-$C$227)),1)</f>
        <v/>
      </c>
      <c r="I115" s="35">
        <f>IFERROR(IF('03_ALTERNATIF'!$K$19="Benefit",(D115-$D$227)/($D$226-$D$227),($D$226-D115)/($D$226-$D$227)),1)</f>
        <v/>
      </c>
      <c r="J115" s="35">
        <f>IFERROR(IF('03_ALTERNATIF'!$L$19="Benefit",(E115-$E$227)/($E$226-$E$227),($E$226-E115)/($E$226-$E$227)),1)</f>
        <v/>
      </c>
      <c r="K115" s="35">
        <f>IFERROR(IF('03_ALTERNATIF'!$M$19="Benefit",(F115-$F$227)/($F$226-$F$227),($F$226-F115)/($F$226-$F$227)),1)</f>
        <v/>
      </c>
      <c r="L115" s="35">
        <f>IFERROR(IF('03_ALTERNATIF'!$N$19="Benefit",(G115-$G$227)/($G$226-$G$227),($G$226-G115)/($G$226-$G$227)),1)</f>
        <v/>
      </c>
      <c r="M115" s="40">
        <f>SUMPRODUCT($H115:$L115,$H$228:$L$228)</f>
        <v/>
      </c>
      <c r="N115" s="10">
        <f>RANK.EQ($M115,$M$4:$M$224,0)</f>
        <v/>
      </c>
    </row>
    <row r="116" ht="15" customHeight="1">
      <c r="A116" s="10" t="inlineStr">
        <is>
          <t>JOB-1239</t>
        </is>
      </c>
      <c r="B116" s="6" t="inlineStr">
        <is>
          <t>Marketing Klinik - Bekasi</t>
        </is>
      </c>
      <c r="C116" s="35" t="n">
        <v>0.3</v>
      </c>
      <c r="D116" s="35" t="n">
        <v>2</v>
      </c>
      <c r="E116" s="35" t="n">
        <v>0.4</v>
      </c>
      <c r="F116" s="35" t="n">
        <v>0.95</v>
      </c>
      <c r="G116" s="35" t="n">
        <v>0.0444</v>
      </c>
      <c r="H116" s="35">
        <f>IFERROR(IF('03_ALTERNATIF'!$J$19="Benefit",(C116-$C$227)/($C$226-$C$227),($C$226-C116)/($C$226-$C$227)),1)</f>
        <v/>
      </c>
      <c r="I116" s="35">
        <f>IFERROR(IF('03_ALTERNATIF'!$K$19="Benefit",(D116-$D$227)/($D$226-$D$227),($D$226-D116)/($D$226-$D$227)),1)</f>
        <v/>
      </c>
      <c r="J116" s="35">
        <f>IFERROR(IF('03_ALTERNATIF'!$L$19="Benefit",(E116-$E$227)/($E$226-$E$227),($E$226-E116)/($E$226-$E$227)),1)</f>
        <v/>
      </c>
      <c r="K116" s="35">
        <f>IFERROR(IF('03_ALTERNATIF'!$M$19="Benefit",(F116-$F$227)/($F$226-$F$227),($F$226-F116)/($F$226-$F$227)),1)</f>
        <v/>
      </c>
      <c r="L116" s="35">
        <f>IFERROR(IF('03_ALTERNATIF'!$N$19="Benefit",(G116-$G$227)/($G$226-$G$227),($G$226-G116)/($G$226-$G$227)),1)</f>
        <v/>
      </c>
      <c r="M116" s="40">
        <f>SUMPRODUCT($H116:$L116,$H$228:$L$228)</f>
        <v/>
      </c>
      <c r="N116" s="10">
        <f>RANK.EQ($M116,$M$4:$M$224,0)</f>
        <v/>
      </c>
    </row>
    <row r="117" ht="15" customHeight="1">
      <c r="A117" s="10" t="inlineStr">
        <is>
          <t>JOB-1286</t>
        </is>
      </c>
      <c r="B117" s="6" t="inlineStr">
        <is>
          <t>Dokter Spesialis Intervensi Muskuloskeletal</t>
        </is>
      </c>
      <c r="C117" s="35" t="n">
        <v>0.3</v>
      </c>
      <c r="D117" s="35" t="n">
        <v>1.6667</v>
      </c>
      <c r="E117" s="35" t="n">
        <v>0.8</v>
      </c>
      <c r="F117" s="35" t="n">
        <v>0.95</v>
      </c>
      <c r="G117" s="35" t="n">
        <v>0.0569</v>
      </c>
      <c r="H117" s="35">
        <f>IFERROR(IF('03_ALTERNATIF'!$J$19="Benefit",(C117-$C$227)/($C$226-$C$227),($C$226-C117)/($C$226-$C$227)),1)</f>
        <v/>
      </c>
      <c r="I117" s="35">
        <f>IFERROR(IF('03_ALTERNATIF'!$K$19="Benefit",(D117-$D$227)/($D$226-$D$227),($D$226-D117)/($D$226-$D$227)),1)</f>
        <v/>
      </c>
      <c r="J117" s="35">
        <f>IFERROR(IF('03_ALTERNATIF'!$L$19="Benefit",(E117-$E$227)/($E$226-$E$227),($E$226-E117)/($E$226-$E$227)),1)</f>
        <v/>
      </c>
      <c r="K117" s="35">
        <f>IFERROR(IF('03_ALTERNATIF'!$M$19="Benefit",(F117-$F$227)/($F$226-$F$227),($F$226-F117)/($F$226-$F$227)),1)</f>
        <v/>
      </c>
      <c r="L117" s="35">
        <f>IFERROR(IF('03_ALTERNATIF'!$N$19="Benefit",(G117-$G$227)/($G$226-$G$227),($G$226-G117)/($G$226-$G$227)),1)</f>
        <v/>
      </c>
      <c r="M117" s="40">
        <f>SUMPRODUCT($H117:$L117,$H$228:$L$228)</f>
        <v/>
      </c>
      <c r="N117" s="10">
        <f>RANK.EQ($M117,$M$4:$M$224,0)</f>
        <v/>
      </c>
    </row>
    <row r="118" ht="15" customHeight="1">
      <c r="A118" s="10" t="inlineStr">
        <is>
          <t>JOB-1383</t>
        </is>
      </c>
      <c r="B118" s="6" t="inlineStr">
        <is>
          <t>Asisten Kepala TokoPT Gavin Mega PerkasaDipromosik</t>
        </is>
      </c>
      <c r="C118" s="35" t="n">
        <v>0.3</v>
      </c>
      <c r="D118" s="35" t="n">
        <v>1.6667</v>
      </c>
      <c r="E118" s="35" t="n">
        <v>0.8</v>
      </c>
      <c r="F118" s="35" t="n">
        <v>0.95</v>
      </c>
      <c r="G118" s="35" t="n">
        <v>0.0569</v>
      </c>
      <c r="H118" s="35">
        <f>IFERROR(IF('03_ALTERNATIF'!$J$19="Benefit",(C118-$C$227)/($C$226-$C$227),($C$226-C118)/($C$226-$C$227)),1)</f>
        <v/>
      </c>
      <c r="I118" s="35">
        <f>IFERROR(IF('03_ALTERNATIF'!$K$19="Benefit",(D118-$D$227)/($D$226-$D$227),($D$226-D118)/($D$226-$D$227)),1)</f>
        <v/>
      </c>
      <c r="J118" s="35">
        <f>IFERROR(IF('03_ALTERNATIF'!$L$19="Benefit",(E118-$E$227)/($E$226-$E$227),($E$226-E118)/($E$226-$E$227)),1)</f>
        <v/>
      </c>
      <c r="K118" s="35">
        <f>IFERROR(IF('03_ALTERNATIF'!$M$19="Benefit",(F118-$F$227)/($F$226-$F$227),($F$226-F118)/($F$226-$F$227)),1)</f>
        <v/>
      </c>
      <c r="L118" s="35">
        <f>IFERROR(IF('03_ALTERNATIF'!$N$19="Benefit",(G118-$G$227)/($G$226-$G$227),($G$226-G118)/($G$226-$G$227)),1)</f>
        <v/>
      </c>
      <c r="M118" s="40">
        <f>SUMPRODUCT($H118:$L118,$H$228:$L$228)</f>
        <v/>
      </c>
      <c r="N118" s="10">
        <f>RANK.EQ($M118,$M$4:$M$224,0)</f>
        <v/>
      </c>
    </row>
    <row r="119" ht="15" customHeight="1">
      <c r="A119" s="10" t="inlineStr">
        <is>
          <t>JOB-1353</t>
        </is>
      </c>
      <c r="B119" s="6" t="inlineStr">
        <is>
          <t>Crew Outlet</t>
        </is>
      </c>
      <c r="C119" s="35" t="n">
        <v>0.3</v>
      </c>
      <c r="D119" s="35" t="n">
        <v>1.6667</v>
      </c>
      <c r="E119" s="35" t="n">
        <v>0.8</v>
      </c>
      <c r="F119" s="35" t="n">
        <v>0.95</v>
      </c>
      <c r="G119" s="35" t="n">
        <v>0.0509</v>
      </c>
      <c r="H119" s="35">
        <f>IFERROR(IF('03_ALTERNATIF'!$J$19="Benefit",(C119-$C$227)/($C$226-$C$227),($C$226-C119)/($C$226-$C$227)),1)</f>
        <v/>
      </c>
      <c r="I119" s="35">
        <f>IFERROR(IF('03_ALTERNATIF'!$K$19="Benefit",(D119-$D$227)/($D$226-$D$227),($D$226-D119)/($D$226-$D$227)),1)</f>
        <v/>
      </c>
      <c r="J119" s="35">
        <f>IFERROR(IF('03_ALTERNATIF'!$L$19="Benefit",(E119-$E$227)/($E$226-$E$227),($E$226-E119)/($E$226-$E$227)),1)</f>
        <v/>
      </c>
      <c r="K119" s="35">
        <f>IFERROR(IF('03_ALTERNATIF'!$M$19="Benefit",(F119-$F$227)/($F$226-$F$227),($F$226-F119)/($F$226-$F$227)),1)</f>
        <v/>
      </c>
      <c r="L119" s="35">
        <f>IFERROR(IF('03_ALTERNATIF'!$N$19="Benefit",(G119-$G$227)/($G$226-$G$227),($G$226-G119)/($G$226-$G$227)),1)</f>
        <v/>
      </c>
      <c r="M119" s="40">
        <f>SUMPRODUCT($H119:$L119,$H$228:$L$228)</f>
        <v/>
      </c>
      <c r="N119" s="10">
        <f>RANK.EQ($M119,$M$4:$M$224,0)</f>
        <v/>
      </c>
    </row>
    <row r="120" ht="15" customHeight="1">
      <c r="A120" s="10" t="inlineStr">
        <is>
          <t>JOB-1222</t>
        </is>
      </c>
      <c r="B120" s="6" t="inlineStr">
        <is>
          <t>Kurir Motor</t>
        </is>
      </c>
      <c r="C120" s="35" t="n">
        <v>0.3</v>
      </c>
      <c r="D120" s="35" t="n">
        <v>2</v>
      </c>
      <c r="E120" s="35" t="n">
        <v>0.4</v>
      </c>
      <c r="F120" s="35" t="n">
        <v>0.95</v>
      </c>
      <c r="G120" s="35" t="n">
        <v>0</v>
      </c>
      <c r="H120" s="35">
        <f>IFERROR(IF('03_ALTERNATIF'!$J$19="Benefit",(C120-$C$227)/($C$226-$C$227),($C$226-C120)/($C$226-$C$227)),1)</f>
        <v/>
      </c>
      <c r="I120" s="35">
        <f>IFERROR(IF('03_ALTERNATIF'!$K$19="Benefit",(D120-$D$227)/($D$226-$D$227),($D$226-D120)/($D$226-$D$227)),1)</f>
        <v/>
      </c>
      <c r="J120" s="35">
        <f>IFERROR(IF('03_ALTERNATIF'!$L$19="Benefit",(E120-$E$227)/($E$226-$E$227),($E$226-E120)/($E$226-$E$227)),1)</f>
        <v/>
      </c>
      <c r="K120" s="35">
        <f>IFERROR(IF('03_ALTERNATIF'!$M$19="Benefit",(F120-$F$227)/($F$226-$F$227),($F$226-F120)/($F$226-$F$227)),1)</f>
        <v/>
      </c>
      <c r="L120" s="35">
        <f>IFERROR(IF('03_ALTERNATIF'!$N$19="Benefit",(G120-$G$227)/($G$226-$G$227),($G$226-G120)/($G$226-$G$227)),1)</f>
        <v/>
      </c>
      <c r="M120" s="40">
        <f>SUMPRODUCT($H120:$L120,$H$228:$L$228)</f>
        <v/>
      </c>
      <c r="N120" s="10">
        <f>RANK.EQ($M120,$M$4:$M$224,0)</f>
        <v/>
      </c>
    </row>
    <row r="121" ht="15" customHeight="1">
      <c r="A121" s="10" t="inlineStr">
        <is>
          <t>JOB-1395</t>
        </is>
      </c>
      <c r="B121" s="6" t="inlineStr">
        <is>
          <t>Part Time Guru Robotik &amp; Coding CIbubur Kota Wisata</t>
        </is>
      </c>
      <c r="C121" s="35" t="n">
        <v>0.3</v>
      </c>
      <c r="D121" s="35" t="n">
        <v>2</v>
      </c>
      <c r="E121" s="35" t="n">
        <v>0.4</v>
      </c>
      <c r="F121" s="35" t="n">
        <v>0.95</v>
      </c>
      <c r="G121" s="35" t="n">
        <v>0</v>
      </c>
      <c r="H121" s="35">
        <f>IFERROR(IF('03_ALTERNATIF'!$J$19="Benefit",(C121-$C$227)/($C$226-$C$227),($C$226-C121)/($C$226-$C$227)),1)</f>
        <v/>
      </c>
      <c r="I121" s="35">
        <f>IFERROR(IF('03_ALTERNATIF'!$K$19="Benefit",(D121-$D$227)/($D$226-$D$227),($D$226-D121)/($D$226-$D$227)),1)</f>
        <v/>
      </c>
      <c r="J121" s="35">
        <f>IFERROR(IF('03_ALTERNATIF'!$L$19="Benefit",(E121-$E$227)/($E$226-$E$227),($E$226-E121)/($E$226-$E$227)),1)</f>
        <v/>
      </c>
      <c r="K121" s="35">
        <f>IFERROR(IF('03_ALTERNATIF'!$M$19="Benefit",(F121-$F$227)/($F$226-$F$227),($F$226-F121)/($F$226-$F$227)),1)</f>
        <v/>
      </c>
      <c r="L121" s="35">
        <f>IFERROR(IF('03_ALTERNATIF'!$N$19="Benefit",(G121-$G$227)/($G$226-$G$227),($G$226-G121)/($G$226-$G$227)),1)</f>
        <v/>
      </c>
      <c r="M121" s="40">
        <f>SUMPRODUCT($H121:$L121,$H$228:$L$228)</f>
        <v/>
      </c>
      <c r="N121" s="10">
        <f>RANK.EQ($M121,$M$4:$M$224,0)</f>
        <v/>
      </c>
    </row>
    <row r="122" ht="15" customHeight="1">
      <c r="A122" s="10" t="inlineStr">
        <is>
          <t>JOB-1086</t>
        </is>
      </c>
      <c r="B122" s="6" t="inlineStr">
        <is>
          <t>Hostlive streaming parttime</t>
        </is>
      </c>
      <c r="C122" s="35" t="n">
        <v>0.3</v>
      </c>
      <c r="D122" s="35" t="n">
        <v>2</v>
      </c>
      <c r="E122" s="35" t="n">
        <v>0.4</v>
      </c>
      <c r="F122" s="35" t="n">
        <v>0.95</v>
      </c>
      <c r="G122" s="35" t="n">
        <v>0</v>
      </c>
      <c r="H122" s="35">
        <f>IFERROR(IF('03_ALTERNATIF'!$J$19="Benefit",(C122-$C$227)/($C$226-$C$227),($C$226-C122)/($C$226-$C$227)),1)</f>
        <v/>
      </c>
      <c r="I122" s="35">
        <f>IFERROR(IF('03_ALTERNATIF'!$K$19="Benefit",(D122-$D$227)/($D$226-$D$227),($D$226-D122)/($D$226-$D$227)),1)</f>
        <v/>
      </c>
      <c r="J122" s="35">
        <f>IFERROR(IF('03_ALTERNATIF'!$L$19="Benefit",(E122-$E$227)/($E$226-$E$227),($E$226-E122)/($E$226-$E$227)),1)</f>
        <v/>
      </c>
      <c r="K122" s="35">
        <f>IFERROR(IF('03_ALTERNATIF'!$M$19="Benefit",(F122-$F$227)/($F$226-$F$227),($F$226-F122)/($F$226-$F$227)),1)</f>
        <v/>
      </c>
      <c r="L122" s="35">
        <f>IFERROR(IF('03_ALTERNATIF'!$N$19="Benefit",(G122-$G$227)/($G$226-$G$227),($G$226-G122)/($G$226-$G$227)),1)</f>
        <v/>
      </c>
      <c r="M122" s="40">
        <f>SUMPRODUCT($H122:$L122,$H$228:$L$228)</f>
        <v/>
      </c>
      <c r="N122" s="10">
        <f>RANK.EQ($M122,$M$4:$M$224,0)</f>
        <v/>
      </c>
    </row>
    <row r="123" ht="15" customHeight="1">
      <c r="A123" s="10" t="inlineStr">
        <is>
          <t>JOB-1360</t>
        </is>
      </c>
      <c r="B123" s="6" t="inlineStr">
        <is>
          <t>Mobile Coffee Shop Crew</t>
        </is>
      </c>
      <c r="C123" s="35" t="n">
        <v>0.3</v>
      </c>
      <c r="D123" s="35" t="n">
        <v>1.8095</v>
      </c>
      <c r="E123" s="35" t="n">
        <v>0.8</v>
      </c>
      <c r="F123" s="35" t="n">
        <v>0.75</v>
      </c>
      <c r="G123" s="35" t="n">
        <v>0</v>
      </c>
      <c r="H123" s="35">
        <f>IFERROR(IF('03_ALTERNATIF'!$J$19="Benefit",(C123-$C$227)/($C$226-$C$227),($C$226-C123)/($C$226-$C$227)),1)</f>
        <v/>
      </c>
      <c r="I123" s="35">
        <f>IFERROR(IF('03_ALTERNATIF'!$K$19="Benefit",(D123-$D$227)/($D$226-$D$227),($D$226-D123)/($D$226-$D$227)),1)</f>
        <v/>
      </c>
      <c r="J123" s="35">
        <f>IFERROR(IF('03_ALTERNATIF'!$L$19="Benefit",(E123-$E$227)/($E$226-$E$227),($E$226-E123)/($E$226-$E$227)),1)</f>
        <v/>
      </c>
      <c r="K123" s="35">
        <f>IFERROR(IF('03_ALTERNATIF'!$M$19="Benefit",(F123-$F$227)/($F$226-$F$227),($F$226-F123)/($F$226-$F$227)),1)</f>
        <v/>
      </c>
      <c r="L123" s="35">
        <f>IFERROR(IF('03_ALTERNATIF'!$N$19="Benefit",(G123-$G$227)/($G$226-$G$227),($G$226-G123)/($G$226-$G$227)),1)</f>
        <v/>
      </c>
      <c r="M123" s="40">
        <f>SUMPRODUCT($H123:$L123,$H$228:$L$228)</f>
        <v/>
      </c>
      <c r="N123" s="10">
        <f>RANK.EQ($M123,$M$4:$M$224,0)</f>
        <v/>
      </c>
    </row>
    <row r="124" ht="15" customHeight="1">
      <c r="A124" s="10" t="inlineStr">
        <is>
          <t>JOB-1332</t>
        </is>
      </c>
      <c r="B124" s="6" t="inlineStr">
        <is>
          <t>Asisten Apoteker / TTK</t>
        </is>
      </c>
      <c r="C124" s="35" t="n">
        <v>0.3</v>
      </c>
      <c r="D124" s="35" t="n">
        <v>1.6667</v>
      </c>
      <c r="E124" s="35" t="n">
        <v>0.8</v>
      </c>
      <c r="F124" s="35" t="n">
        <v>0.95</v>
      </c>
      <c r="G124" s="35" t="n">
        <v>0</v>
      </c>
      <c r="H124" s="35">
        <f>IFERROR(IF('03_ALTERNATIF'!$J$19="Benefit",(C124-$C$227)/($C$226-$C$227),($C$226-C124)/($C$226-$C$227)),1)</f>
        <v/>
      </c>
      <c r="I124" s="35">
        <f>IFERROR(IF('03_ALTERNATIF'!$K$19="Benefit",(D124-$D$227)/($D$226-$D$227),($D$226-D124)/($D$226-$D$227)),1)</f>
        <v/>
      </c>
      <c r="J124" s="35">
        <f>IFERROR(IF('03_ALTERNATIF'!$L$19="Benefit",(E124-$E$227)/($E$226-$E$227),($E$226-E124)/($E$226-$E$227)),1)</f>
        <v/>
      </c>
      <c r="K124" s="35">
        <f>IFERROR(IF('03_ALTERNATIF'!$M$19="Benefit",(F124-$F$227)/($F$226-$F$227),($F$226-F124)/($F$226-$F$227)),1)</f>
        <v/>
      </c>
      <c r="L124" s="35">
        <f>IFERROR(IF('03_ALTERNATIF'!$N$19="Benefit",(G124-$G$227)/($G$226-$G$227),($G$226-G124)/($G$226-$G$227)),1)</f>
        <v/>
      </c>
      <c r="M124" s="40">
        <f>SUMPRODUCT($H124:$L124,$H$228:$L$228)</f>
        <v/>
      </c>
      <c r="N124" s="10">
        <f>RANK.EQ($M124,$M$4:$M$224,0)</f>
        <v/>
      </c>
    </row>
    <row r="125" ht="15" customHeight="1">
      <c r="A125" s="10" t="inlineStr">
        <is>
          <t>JOB-1379</t>
        </is>
      </c>
      <c r="B125" s="6" t="inlineStr">
        <is>
          <t>ACCOUNT OFFICER / MARKETING CABANG KENDARIPT Kresn</t>
        </is>
      </c>
      <c r="C125" s="35" t="n">
        <v>0.3</v>
      </c>
      <c r="D125" s="35" t="n">
        <v>1.6667</v>
      </c>
      <c r="E125" s="35" t="n">
        <v>0.8</v>
      </c>
      <c r="F125" s="35" t="n">
        <v>0.85</v>
      </c>
      <c r="G125" s="35" t="n">
        <v>0.0563</v>
      </c>
      <c r="H125" s="35">
        <f>IFERROR(IF('03_ALTERNATIF'!$J$19="Benefit",(C125-$C$227)/($C$226-$C$227),($C$226-C125)/($C$226-$C$227)),1)</f>
        <v/>
      </c>
      <c r="I125" s="35">
        <f>IFERROR(IF('03_ALTERNATIF'!$K$19="Benefit",(D125-$D$227)/($D$226-$D$227),($D$226-D125)/($D$226-$D$227)),1)</f>
        <v/>
      </c>
      <c r="J125" s="35">
        <f>IFERROR(IF('03_ALTERNATIF'!$L$19="Benefit",(E125-$E$227)/($E$226-$E$227),($E$226-E125)/($E$226-$E$227)),1)</f>
        <v/>
      </c>
      <c r="K125" s="35">
        <f>IFERROR(IF('03_ALTERNATIF'!$M$19="Benefit",(F125-$F$227)/($F$226-$F$227),($F$226-F125)/($F$226-$F$227)),1)</f>
        <v/>
      </c>
      <c r="L125" s="35">
        <f>IFERROR(IF('03_ALTERNATIF'!$N$19="Benefit",(G125-$G$227)/($G$226-$G$227),($G$226-G125)/($G$226-$G$227)),1)</f>
        <v/>
      </c>
      <c r="M125" s="40">
        <f>SUMPRODUCT($H125:$L125,$H$228:$L$228)</f>
        <v/>
      </c>
      <c r="N125" s="10">
        <f>RANK.EQ($M125,$M$4:$M$224,0)</f>
        <v/>
      </c>
    </row>
    <row r="126" ht="15" customHeight="1">
      <c r="A126" s="10" t="inlineStr">
        <is>
          <t>JOB-1295</t>
        </is>
      </c>
      <c r="B126" s="6" t="inlineStr">
        <is>
          <t>Social Media Specialist</t>
        </is>
      </c>
      <c r="C126" s="35" t="n">
        <v>0.3</v>
      </c>
      <c r="D126" s="35" t="n">
        <v>1.6667</v>
      </c>
      <c r="E126" s="35" t="n">
        <v>0.8</v>
      </c>
      <c r="F126" s="35" t="n">
        <v>0.85</v>
      </c>
      <c r="G126" s="35" t="n">
        <v>0.0417</v>
      </c>
      <c r="H126" s="35">
        <f>IFERROR(IF('03_ALTERNATIF'!$J$19="Benefit",(C126-$C$227)/($C$226-$C$227),($C$226-C126)/($C$226-$C$227)),1)</f>
        <v/>
      </c>
      <c r="I126" s="35">
        <f>IFERROR(IF('03_ALTERNATIF'!$K$19="Benefit",(D126-$D$227)/($D$226-$D$227),($D$226-D126)/($D$226-$D$227)),1)</f>
        <v/>
      </c>
      <c r="J126" s="35">
        <f>IFERROR(IF('03_ALTERNATIF'!$L$19="Benefit",(E126-$E$227)/($E$226-$E$227),($E$226-E126)/($E$226-$E$227)),1)</f>
        <v/>
      </c>
      <c r="K126" s="35">
        <f>IFERROR(IF('03_ALTERNATIF'!$M$19="Benefit",(F126-$F$227)/($F$226-$F$227),($F$226-F126)/($F$226-$F$227)),1)</f>
        <v/>
      </c>
      <c r="L126" s="35">
        <f>IFERROR(IF('03_ALTERNATIF'!$N$19="Benefit",(G126-$G$227)/($G$226-$G$227),($G$226-G126)/($G$226-$G$227)),1)</f>
        <v/>
      </c>
      <c r="M126" s="40">
        <f>SUMPRODUCT($H126:$L126,$H$228:$L$228)</f>
        <v/>
      </c>
      <c r="N126" s="10">
        <f>RANK.EQ($M126,$M$4:$M$224,0)</f>
        <v/>
      </c>
    </row>
    <row r="127" ht="15" customHeight="1">
      <c r="A127" s="10" t="inlineStr">
        <is>
          <t>JOB-1359</t>
        </is>
      </c>
      <c r="B127" s="6" t="inlineStr">
        <is>
          <t>Barista Keliling</t>
        </is>
      </c>
      <c r="C127" s="35" t="n">
        <v>0.3</v>
      </c>
      <c r="D127" s="35" t="n">
        <v>2</v>
      </c>
      <c r="E127" s="35" t="n">
        <v>0.4</v>
      </c>
      <c r="F127" s="35" t="n">
        <v>0.85</v>
      </c>
      <c r="G127" s="35" t="n">
        <v>0</v>
      </c>
      <c r="H127" s="35">
        <f>IFERROR(IF('03_ALTERNATIF'!$J$19="Benefit",(C127-$C$227)/($C$226-$C$227),($C$226-C127)/($C$226-$C$227)),1)</f>
        <v/>
      </c>
      <c r="I127" s="35">
        <f>IFERROR(IF('03_ALTERNATIF'!$K$19="Benefit",(D127-$D$227)/($D$226-$D$227),($D$226-D127)/($D$226-$D$227)),1)</f>
        <v/>
      </c>
      <c r="J127" s="35">
        <f>IFERROR(IF('03_ALTERNATIF'!$L$19="Benefit",(E127-$E$227)/($E$226-$E$227),($E$226-E127)/($E$226-$E$227)),1)</f>
        <v/>
      </c>
      <c r="K127" s="35">
        <f>IFERROR(IF('03_ALTERNATIF'!$M$19="Benefit",(F127-$F$227)/($F$226-$F$227),($F$226-F127)/($F$226-$F$227)),1)</f>
        <v/>
      </c>
      <c r="L127" s="35">
        <f>IFERROR(IF('03_ALTERNATIF'!$N$19="Benefit",(G127-$G$227)/($G$226-$G$227),($G$226-G127)/($G$226-$G$227)),1)</f>
        <v/>
      </c>
      <c r="M127" s="40">
        <f>SUMPRODUCT($H127:$L127,$H$228:$L$228)</f>
        <v/>
      </c>
      <c r="N127" s="10">
        <f>RANK.EQ($M127,$M$4:$M$224,0)</f>
        <v/>
      </c>
    </row>
    <row r="128" ht="15" customHeight="1">
      <c r="A128" s="10" t="inlineStr">
        <is>
          <t>JOB-1097</t>
        </is>
      </c>
      <c r="B128" s="6" t="inlineStr">
        <is>
          <t>Customer Service Attendence Playground anak Ananda Cileungsi</t>
        </is>
      </c>
      <c r="C128" s="35" t="n">
        <v>0.3</v>
      </c>
      <c r="D128" s="35" t="n">
        <v>2</v>
      </c>
      <c r="E128" s="35" t="n">
        <v>0.4</v>
      </c>
      <c r="F128" s="35" t="n">
        <v>0.85</v>
      </c>
      <c r="G128" s="35" t="n">
        <v>0</v>
      </c>
      <c r="H128" s="35">
        <f>IFERROR(IF('03_ALTERNATIF'!$J$19="Benefit",(C128-$C$227)/($C$226-$C$227),($C$226-C128)/($C$226-$C$227)),1)</f>
        <v/>
      </c>
      <c r="I128" s="35">
        <f>IFERROR(IF('03_ALTERNATIF'!$K$19="Benefit",(D128-$D$227)/($D$226-$D$227),($D$226-D128)/($D$226-$D$227)),1)</f>
        <v/>
      </c>
      <c r="J128" s="35">
        <f>IFERROR(IF('03_ALTERNATIF'!$L$19="Benefit",(E128-$E$227)/($E$226-$E$227),($E$226-E128)/($E$226-$E$227)),1)</f>
        <v/>
      </c>
      <c r="K128" s="35">
        <f>IFERROR(IF('03_ALTERNATIF'!$M$19="Benefit",(F128-$F$227)/($F$226-$F$227),($F$226-F128)/($F$226-$F$227)),1)</f>
        <v/>
      </c>
      <c r="L128" s="35">
        <f>IFERROR(IF('03_ALTERNATIF'!$N$19="Benefit",(G128-$G$227)/($G$226-$G$227),($G$226-G128)/($G$226-$G$227)),1)</f>
        <v/>
      </c>
      <c r="M128" s="40">
        <f>SUMPRODUCT($H128:$L128,$H$228:$L$228)</f>
        <v/>
      </c>
      <c r="N128" s="10">
        <f>RANK.EQ($M128,$M$4:$M$224,0)</f>
        <v/>
      </c>
    </row>
    <row r="129" ht="15" customHeight="1">
      <c r="A129" s="10" t="inlineStr">
        <is>
          <t>JOB-1131</t>
        </is>
      </c>
      <c r="B129" s="6" t="inlineStr">
        <is>
          <t>Crew Front Parttime</t>
        </is>
      </c>
      <c r="C129" s="35" t="n">
        <v>0.3</v>
      </c>
      <c r="D129" s="35" t="n">
        <v>2</v>
      </c>
      <c r="E129" s="35" t="n">
        <v>0.4</v>
      </c>
      <c r="F129" s="35" t="n">
        <v>0.85</v>
      </c>
      <c r="G129" s="35" t="n">
        <v>0</v>
      </c>
      <c r="H129" s="35">
        <f>IFERROR(IF('03_ALTERNATIF'!$J$19="Benefit",(C129-$C$227)/($C$226-$C$227),($C$226-C129)/($C$226-$C$227)),1)</f>
        <v/>
      </c>
      <c r="I129" s="35">
        <f>IFERROR(IF('03_ALTERNATIF'!$K$19="Benefit",(D129-$D$227)/($D$226-$D$227),($D$226-D129)/($D$226-$D$227)),1)</f>
        <v/>
      </c>
      <c r="J129" s="35">
        <f>IFERROR(IF('03_ALTERNATIF'!$L$19="Benefit",(E129-$E$227)/($E$226-$E$227),($E$226-E129)/($E$226-$E$227)),1)</f>
        <v/>
      </c>
      <c r="K129" s="35">
        <f>IFERROR(IF('03_ALTERNATIF'!$M$19="Benefit",(F129-$F$227)/($F$226-$F$227),($F$226-F129)/($F$226-$F$227)),1)</f>
        <v/>
      </c>
      <c r="L129" s="35">
        <f>IFERROR(IF('03_ALTERNATIF'!$N$19="Benefit",(G129-$G$227)/($G$226-$G$227),($G$226-G129)/($G$226-$G$227)),1)</f>
        <v/>
      </c>
      <c r="M129" s="40">
        <f>SUMPRODUCT($H129:$L129,$H$228:$L$228)</f>
        <v/>
      </c>
      <c r="N129" s="10">
        <f>RANK.EQ($M129,$M$4:$M$224,0)</f>
        <v/>
      </c>
    </row>
    <row r="130" ht="15" customHeight="1">
      <c r="A130" s="10" t="inlineStr">
        <is>
          <t>JOB-1016</t>
        </is>
      </c>
      <c r="B130" s="6" t="inlineStr">
        <is>
          <t>SHOPKEEPER PART TIME (URGENTLY NEEDED)</t>
        </is>
      </c>
      <c r="C130" s="35" t="n">
        <v>0.3</v>
      </c>
      <c r="D130" s="35" t="n">
        <v>2</v>
      </c>
      <c r="E130" s="35" t="n">
        <v>0.4</v>
      </c>
      <c r="F130" s="35" t="n">
        <v>0.85</v>
      </c>
      <c r="G130" s="35" t="n">
        <v>0</v>
      </c>
      <c r="H130" s="35">
        <f>IFERROR(IF('03_ALTERNATIF'!$J$19="Benefit",(C130-$C$227)/($C$226-$C$227),($C$226-C130)/($C$226-$C$227)),1)</f>
        <v/>
      </c>
      <c r="I130" s="35">
        <f>IFERROR(IF('03_ALTERNATIF'!$K$19="Benefit",(D130-$D$227)/($D$226-$D$227),($D$226-D130)/($D$226-$D$227)),1)</f>
        <v/>
      </c>
      <c r="J130" s="35">
        <f>IFERROR(IF('03_ALTERNATIF'!$L$19="Benefit",(E130-$E$227)/($E$226-$E$227),($E$226-E130)/($E$226-$E$227)),1)</f>
        <v/>
      </c>
      <c r="K130" s="35">
        <f>IFERROR(IF('03_ALTERNATIF'!$M$19="Benefit",(F130-$F$227)/($F$226-$F$227),($F$226-F130)/($F$226-$F$227)),1)</f>
        <v/>
      </c>
      <c r="L130" s="35">
        <f>IFERROR(IF('03_ALTERNATIF'!$N$19="Benefit",(G130-$G$227)/($G$226-$G$227),($G$226-G130)/($G$226-$G$227)),1)</f>
        <v/>
      </c>
      <c r="M130" s="40">
        <f>SUMPRODUCT($H130:$L130,$H$228:$L$228)</f>
        <v/>
      </c>
      <c r="N130" s="10">
        <f>RANK.EQ($M130,$M$4:$M$224,0)</f>
        <v/>
      </c>
    </row>
    <row r="131" ht="15" customHeight="1">
      <c r="A131" s="10" t="inlineStr">
        <is>
          <t>JOB-1013</t>
        </is>
      </c>
      <c r="B131" s="6" t="inlineStr">
        <is>
          <t>Content Creator</t>
        </is>
      </c>
      <c r="C131" s="35" t="n">
        <v>0.3</v>
      </c>
      <c r="D131" s="35" t="n">
        <v>1.8095</v>
      </c>
      <c r="E131" s="35" t="n">
        <v>0.8</v>
      </c>
      <c r="F131" s="35" t="n">
        <v>0.65</v>
      </c>
      <c r="G131" s="35" t="n">
        <v>0</v>
      </c>
      <c r="H131" s="35">
        <f>IFERROR(IF('03_ALTERNATIF'!$J$19="Benefit",(C131-$C$227)/($C$226-$C$227),($C$226-C131)/($C$226-$C$227)),1)</f>
        <v/>
      </c>
      <c r="I131" s="35">
        <f>IFERROR(IF('03_ALTERNATIF'!$K$19="Benefit",(D131-$D$227)/($D$226-$D$227),($D$226-D131)/($D$226-$D$227)),1)</f>
        <v/>
      </c>
      <c r="J131" s="35">
        <f>IFERROR(IF('03_ALTERNATIF'!$L$19="Benefit",(E131-$E$227)/($E$226-$E$227),($E$226-E131)/($E$226-$E$227)),1)</f>
        <v/>
      </c>
      <c r="K131" s="35">
        <f>IFERROR(IF('03_ALTERNATIF'!$M$19="Benefit",(F131-$F$227)/($F$226-$F$227),($F$226-F131)/($F$226-$F$227)),1)</f>
        <v/>
      </c>
      <c r="L131" s="35">
        <f>IFERROR(IF('03_ALTERNATIF'!$N$19="Benefit",(G131-$G$227)/($G$226-$G$227),($G$226-G131)/($G$226-$G$227)),1)</f>
        <v/>
      </c>
      <c r="M131" s="40">
        <f>SUMPRODUCT($H131:$L131,$H$228:$L$228)</f>
        <v/>
      </c>
      <c r="N131" s="10">
        <f>RANK.EQ($M131,$M$4:$M$224,0)</f>
        <v/>
      </c>
    </row>
    <row r="132" ht="15" customHeight="1">
      <c r="A132" s="10" t="inlineStr">
        <is>
          <t>JOB-1129</t>
        </is>
      </c>
      <c r="B132" s="6" t="inlineStr">
        <is>
          <t>E-commerce</t>
        </is>
      </c>
      <c r="C132" s="35" t="n">
        <v>0.3</v>
      </c>
      <c r="D132" s="35" t="n">
        <v>1.6667</v>
      </c>
      <c r="E132" s="35" t="n">
        <v>0.8</v>
      </c>
      <c r="F132" s="35" t="n">
        <v>0.85</v>
      </c>
      <c r="G132" s="35" t="n">
        <v>0</v>
      </c>
      <c r="H132" s="35">
        <f>IFERROR(IF('03_ALTERNATIF'!$J$19="Benefit",(C132-$C$227)/($C$226-$C$227),($C$226-C132)/($C$226-$C$227)),1)</f>
        <v/>
      </c>
      <c r="I132" s="35">
        <f>IFERROR(IF('03_ALTERNATIF'!$K$19="Benefit",(D132-$D$227)/($D$226-$D$227),($D$226-D132)/($D$226-$D$227)),1)</f>
        <v/>
      </c>
      <c r="J132" s="35">
        <f>IFERROR(IF('03_ALTERNATIF'!$L$19="Benefit",(E132-$E$227)/($E$226-$E$227),($E$226-E132)/($E$226-$E$227)),1)</f>
        <v/>
      </c>
      <c r="K132" s="35">
        <f>IFERROR(IF('03_ALTERNATIF'!$M$19="Benefit",(F132-$F$227)/($F$226-$F$227),($F$226-F132)/($F$226-$F$227)),1)</f>
        <v/>
      </c>
      <c r="L132" s="35">
        <f>IFERROR(IF('03_ALTERNATIF'!$N$19="Benefit",(G132-$G$227)/($G$226-$G$227),($G$226-G132)/($G$226-$G$227)),1)</f>
        <v/>
      </c>
      <c r="M132" s="40">
        <f>SUMPRODUCT($H132:$L132,$H$228:$L$228)</f>
        <v/>
      </c>
      <c r="N132" s="10">
        <f>RANK.EQ($M132,$M$4:$M$224,0)</f>
        <v/>
      </c>
    </row>
    <row r="133" ht="15" customHeight="1">
      <c r="A133" s="10" t="inlineStr">
        <is>
          <t>JOB-1191</t>
        </is>
      </c>
      <c r="B133" s="6" t="inlineStr">
        <is>
          <t>Mitra Cleaning Service Harian (Part-Time) – Jakarta Selatan</t>
        </is>
      </c>
      <c r="C133" s="35" t="n">
        <v>0.3</v>
      </c>
      <c r="D133" s="35" t="n">
        <v>1.6667</v>
      </c>
      <c r="E133" s="35" t="n">
        <v>0.8</v>
      </c>
      <c r="F133" s="35" t="n">
        <v>0.85</v>
      </c>
      <c r="G133" s="35" t="n">
        <v>0</v>
      </c>
      <c r="H133" s="35">
        <f>IFERROR(IF('03_ALTERNATIF'!$J$19="Benefit",(C133-$C$227)/($C$226-$C$227),($C$226-C133)/($C$226-$C$227)),1)</f>
        <v/>
      </c>
      <c r="I133" s="35">
        <f>IFERROR(IF('03_ALTERNATIF'!$K$19="Benefit",(D133-$D$227)/($D$226-$D$227),($D$226-D133)/($D$226-$D$227)),1)</f>
        <v/>
      </c>
      <c r="J133" s="35">
        <f>IFERROR(IF('03_ALTERNATIF'!$L$19="Benefit",(E133-$E$227)/($E$226-$E$227),($E$226-E133)/($E$226-$E$227)),1)</f>
        <v/>
      </c>
      <c r="K133" s="35">
        <f>IFERROR(IF('03_ALTERNATIF'!$M$19="Benefit",(F133-$F$227)/($F$226-$F$227),($F$226-F133)/($F$226-$F$227)),1)</f>
        <v/>
      </c>
      <c r="L133" s="35">
        <f>IFERROR(IF('03_ALTERNATIF'!$N$19="Benefit",(G133-$G$227)/($G$226-$G$227),($G$226-G133)/($G$226-$G$227)),1)</f>
        <v/>
      </c>
      <c r="M133" s="40">
        <f>SUMPRODUCT($H133:$L133,$H$228:$L$228)</f>
        <v/>
      </c>
      <c r="N133" s="10">
        <f>RANK.EQ($M133,$M$4:$M$224,0)</f>
        <v/>
      </c>
    </row>
    <row r="134" ht="15" customHeight="1">
      <c r="A134" s="10" t="inlineStr">
        <is>
          <t>JOB-1268</t>
        </is>
      </c>
      <c r="B134" s="6" t="inlineStr">
        <is>
          <t>Dokter</t>
        </is>
      </c>
      <c r="C134" s="35" t="n">
        <v>0.3</v>
      </c>
      <c r="D134" s="35" t="n">
        <v>1.6667</v>
      </c>
      <c r="E134" s="35" t="n">
        <v>0.8</v>
      </c>
      <c r="F134" s="35" t="n">
        <v>0.85</v>
      </c>
      <c r="G134" s="35" t="n">
        <v>0</v>
      </c>
      <c r="H134" s="35">
        <f>IFERROR(IF('03_ALTERNATIF'!$J$19="Benefit",(C134-$C$227)/($C$226-$C$227),($C$226-C134)/($C$226-$C$227)),1)</f>
        <v/>
      </c>
      <c r="I134" s="35">
        <f>IFERROR(IF('03_ALTERNATIF'!$K$19="Benefit",(D134-$D$227)/($D$226-$D$227),($D$226-D134)/($D$226-$D$227)),1)</f>
        <v/>
      </c>
      <c r="J134" s="35">
        <f>IFERROR(IF('03_ALTERNATIF'!$L$19="Benefit",(E134-$E$227)/($E$226-$E$227),($E$226-E134)/($E$226-$E$227)),1)</f>
        <v/>
      </c>
      <c r="K134" s="35">
        <f>IFERROR(IF('03_ALTERNATIF'!$M$19="Benefit",(F134-$F$227)/($F$226-$F$227),($F$226-F134)/($F$226-$F$227)),1)</f>
        <v/>
      </c>
      <c r="L134" s="35">
        <f>IFERROR(IF('03_ALTERNATIF'!$N$19="Benefit",(G134-$G$227)/($G$226-$G$227),($G$226-G134)/($G$226-$G$227)),1)</f>
        <v/>
      </c>
      <c r="M134" s="40">
        <f>SUMPRODUCT($H134:$L134,$H$228:$L$228)</f>
        <v/>
      </c>
      <c r="N134" s="10">
        <f>RANK.EQ($M134,$M$4:$M$224,0)</f>
        <v/>
      </c>
    </row>
    <row r="135" ht="15" customHeight="1">
      <c r="A135" s="10" t="inlineStr">
        <is>
          <t>JOB-1257</t>
        </is>
      </c>
      <c r="B135" s="6" t="inlineStr">
        <is>
          <t>Teknisi/IT (Network Internet Service Provider)</t>
        </is>
      </c>
      <c r="C135" s="35" t="n">
        <v>0.3</v>
      </c>
      <c r="D135" s="35" t="n">
        <v>1.4286</v>
      </c>
      <c r="E135" s="35" t="n">
        <v>1</v>
      </c>
      <c r="F135" s="35" t="n">
        <v>0.95</v>
      </c>
      <c r="G135" s="35" t="n">
        <v>0</v>
      </c>
      <c r="H135" s="35">
        <f>IFERROR(IF('03_ALTERNATIF'!$J$19="Benefit",(C135-$C$227)/($C$226-$C$227),($C$226-C135)/($C$226-$C$227)),1)</f>
        <v/>
      </c>
      <c r="I135" s="35">
        <f>IFERROR(IF('03_ALTERNATIF'!$K$19="Benefit",(D135-$D$227)/($D$226-$D$227),($D$226-D135)/($D$226-$D$227)),1)</f>
        <v/>
      </c>
      <c r="J135" s="35">
        <f>IFERROR(IF('03_ALTERNATIF'!$L$19="Benefit",(E135-$E$227)/($E$226-$E$227),($E$226-E135)/($E$226-$E$227)),1)</f>
        <v/>
      </c>
      <c r="K135" s="35">
        <f>IFERROR(IF('03_ALTERNATIF'!$M$19="Benefit",(F135-$F$227)/($F$226-$F$227),($F$226-F135)/($F$226-$F$227)),1)</f>
        <v/>
      </c>
      <c r="L135" s="35">
        <f>IFERROR(IF('03_ALTERNATIF'!$N$19="Benefit",(G135-$G$227)/($G$226-$G$227),($G$226-G135)/($G$226-$G$227)),1)</f>
        <v/>
      </c>
      <c r="M135" s="40">
        <f>SUMPRODUCT($H135:$L135,$H$228:$L$228)</f>
        <v/>
      </c>
      <c r="N135" s="10">
        <f>RANK.EQ($M135,$M$4:$M$224,0)</f>
        <v/>
      </c>
    </row>
    <row r="136" ht="15" customHeight="1">
      <c r="A136" s="10" t="inlineStr">
        <is>
          <t>JOB-1030</t>
        </is>
      </c>
      <c r="B136" s="6" t="inlineStr">
        <is>
          <t>OneClickSmart: Sales Software Online (Remote)</t>
        </is>
      </c>
      <c r="C136" s="35" t="n">
        <v>0.3</v>
      </c>
      <c r="D136" s="35" t="n">
        <v>1.4286</v>
      </c>
      <c r="E136" s="35" t="n">
        <v>1</v>
      </c>
      <c r="F136" s="35" t="n">
        <v>0.95</v>
      </c>
      <c r="G136" s="35" t="n">
        <v>0</v>
      </c>
      <c r="H136" s="35">
        <f>IFERROR(IF('03_ALTERNATIF'!$J$19="Benefit",(C136-$C$227)/($C$226-$C$227),($C$226-C136)/($C$226-$C$227)),1)</f>
        <v/>
      </c>
      <c r="I136" s="35">
        <f>IFERROR(IF('03_ALTERNATIF'!$K$19="Benefit",(D136-$D$227)/($D$226-$D$227),($D$226-D136)/($D$226-$D$227)),1)</f>
        <v/>
      </c>
      <c r="J136" s="35">
        <f>IFERROR(IF('03_ALTERNATIF'!$L$19="Benefit",(E136-$E$227)/($E$226-$E$227),($E$226-E136)/($E$226-$E$227)),1)</f>
        <v/>
      </c>
      <c r="K136" s="35">
        <f>IFERROR(IF('03_ALTERNATIF'!$M$19="Benefit",(F136-$F$227)/($F$226-$F$227),($F$226-F136)/($F$226-$F$227)),1)</f>
        <v/>
      </c>
      <c r="L136" s="35">
        <f>IFERROR(IF('03_ALTERNATIF'!$N$19="Benefit",(G136-$G$227)/($G$226-$G$227),($G$226-G136)/($G$226-$G$227)),1)</f>
        <v/>
      </c>
      <c r="M136" s="40">
        <f>SUMPRODUCT($H136:$L136,$H$228:$L$228)</f>
        <v/>
      </c>
      <c r="N136" s="10">
        <f>RANK.EQ($M136,$M$4:$M$224,0)</f>
        <v/>
      </c>
    </row>
    <row r="137" ht="15" customHeight="1">
      <c r="A137" s="10" t="inlineStr">
        <is>
          <t>JOB-1371</t>
        </is>
      </c>
      <c r="B137" s="6" t="inlineStr">
        <is>
          <t>Financial Advisor (Bancassurance) - Jakarta UtaraP</t>
        </is>
      </c>
      <c r="C137" s="35" t="n">
        <v>0.3</v>
      </c>
      <c r="D137" s="35" t="n">
        <v>1.4286</v>
      </c>
      <c r="E137" s="35" t="n">
        <v>1</v>
      </c>
      <c r="F137" s="35" t="n">
        <v>0.95</v>
      </c>
      <c r="G137" s="35" t="n">
        <v>0</v>
      </c>
      <c r="H137" s="35">
        <f>IFERROR(IF('03_ALTERNATIF'!$J$19="Benefit",(C137-$C$227)/($C$226-$C$227),($C$226-C137)/($C$226-$C$227)),1)</f>
        <v/>
      </c>
      <c r="I137" s="35">
        <f>IFERROR(IF('03_ALTERNATIF'!$K$19="Benefit",(D137-$D$227)/($D$226-$D$227),($D$226-D137)/($D$226-$D$227)),1)</f>
        <v/>
      </c>
      <c r="J137" s="35">
        <f>IFERROR(IF('03_ALTERNATIF'!$L$19="Benefit",(E137-$E$227)/($E$226-$E$227),($E$226-E137)/($E$226-$E$227)),1)</f>
        <v/>
      </c>
      <c r="K137" s="35">
        <f>IFERROR(IF('03_ALTERNATIF'!$M$19="Benefit",(F137-$F$227)/($F$226-$F$227),($F$226-F137)/($F$226-$F$227)),1)</f>
        <v/>
      </c>
      <c r="L137" s="35">
        <f>IFERROR(IF('03_ALTERNATIF'!$N$19="Benefit",(G137-$G$227)/($G$226-$G$227),($G$226-G137)/($G$226-$G$227)),1)</f>
        <v/>
      </c>
      <c r="M137" s="40">
        <f>SUMPRODUCT($H137:$L137,$H$228:$L$228)</f>
        <v/>
      </c>
      <c r="N137" s="10">
        <f>RANK.EQ($M137,$M$4:$M$224,0)</f>
        <v/>
      </c>
    </row>
    <row r="138" ht="15" customHeight="1">
      <c r="A138" s="10" t="inlineStr">
        <is>
          <t>JOB-1312</t>
        </is>
      </c>
      <c r="B138" s="6" t="inlineStr">
        <is>
          <t>Coding Mentor</t>
        </is>
      </c>
      <c r="C138" s="35" t="n">
        <v>0.3</v>
      </c>
      <c r="D138" s="35" t="n">
        <v>2</v>
      </c>
      <c r="E138" s="35" t="n">
        <v>0.4</v>
      </c>
      <c r="F138" s="35" t="n">
        <v>0.75</v>
      </c>
      <c r="G138" s="35" t="n">
        <v>0.0492</v>
      </c>
      <c r="H138" s="35">
        <f>IFERROR(IF('03_ALTERNATIF'!$J$19="Benefit",(C138-$C$227)/($C$226-$C$227),($C$226-C138)/($C$226-$C$227)),1)</f>
        <v/>
      </c>
      <c r="I138" s="35">
        <f>IFERROR(IF('03_ALTERNATIF'!$K$19="Benefit",(D138-$D$227)/($D$226-$D$227),($D$226-D138)/($D$226-$D$227)),1)</f>
        <v/>
      </c>
      <c r="J138" s="35">
        <f>IFERROR(IF('03_ALTERNATIF'!$L$19="Benefit",(E138-$E$227)/($E$226-$E$227),($E$226-E138)/($E$226-$E$227)),1)</f>
        <v/>
      </c>
      <c r="K138" s="35">
        <f>IFERROR(IF('03_ALTERNATIF'!$M$19="Benefit",(F138-$F$227)/($F$226-$F$227),($F$226-F138)/($F$226-$F$227)),1)</f>
        <v/>
      </c>
      <c r="L138" s="35">
        <f>IFERROR(IF('03_ALTERNATIF'!$N$19="Benefit",(G138-$G$227)/($G$226-$G$227),($G$226-G138)/($G$226-$G$227)),1)</f>
        <v/>
      </c>
      <c r="M138" s="40">
        <f>SUMPRODUCT($H138:$L138,$H$228:$L$228)</f>
        <v/>
      </c>
      <c r="N138" s="10">
        <f>RANK.EQ($M138,$M$4:$M$224,0)</f>
        <v/>
      </c>
    </row>
    <row r="139" ht="15" customHeight="1">
      <c r="A139" s="10" t="inlineStr">
        <is>
          <t>JOB-1338</t>
        </is>
      </c>
      <c r="B139" s="6" t="inlineStr">
        <is>
          <t>Smoothie Barista</t>
        </is>
      </c>
      <c r="C139" s="35" t="n">
        <v>0.3</v>
      </c>
      <c r="D139" s="35" t="n">
        <v>1.6667</v>
      </c>
      <c r="E139" s="35" t="n">
        <v>0.8</v>
      </c>
      <c r="F139" s="35" t="n">
        <v>0.75</v>
      </c>
      <c r="G139" s="35" t="n">
        <v>0.0663</v>
      </c>
      <c r="H139" s="35">
        <f>IFERROR(IF('03_ALTERNATIF'!$J$19="Benefit",(C139-$C$227)/($C$226-$C$227),($C$226-C139)/($C$226-$C$227)),1)</f>
        <v/>
      </c>
      <c r="I139" s="35">
        <f>IFERROR(IF('03_ALTERNATIF'!$K$19="Benefit",(D139-$D$227)/($D$226-$D$227),($D$226-D139)/($D$226-$D$227)),1)</f>
        <v/>
      </c>
      <c r="J139" s="35">
        <f>IFERROR(IF('03_ALTERNATIF'!$L$19="Benefit",(E139-$E$227)/($E$226-$E$227),($E$226-E139)/($E$226-$E$227)),1)</f>
        <v/>
      </c>
      <c r="K139" s="35">
        <f>IFERROR(IF('03_ALTERNATIF'!$M$19="Benefit",(F139-$F$227)/($F$226-$F$227),($F$226-F139)/($F$226-$F$227)),1)</f>
        <v/>
      </c>
      <c r="L139" s="35">
        <f>IFERROR(IF('03_ALTERNATIF'!$N$19="Benefit",(G139-$G$227)/($G$226-$G$227),($G$226-G139)/($G$226-$G$227)),1)</f>
        <v/>
      </c>
      <c r="M139" s="40">
        <f>SUMPRODUCT($H139:$L139,$H$228:$L$228)</f>
        <v/>
      </c>
      <c r="N139" s="10">
        <f>RANK.EQ($M139,$M$4:$M$224,0)</f>
        <v/>
      </c>
    </row>
    <row r="140" ht="15" customHeight="1">
      <c r="A140" s="10" t="inlineStr">
        <is>
          <t>JOB-1370</t>
        </is>
      </c>
      <c r="B140" s="6" t="inlineStr">
        <is>
          <t>Kolektor Lapangan (Depok/Jakarta Selatan)PT Sarwa</t>
        </is>
      </c>
      <c r="C140" s="35" t="n">
        <v>0.3</v>
      </c>
      <c r="D140" s="35" t="n">
        <v>1.6667</v>
      </c>
      <c r="E140" s="35" t="n">
        <v>0.8</v>
      </c>
      <c r="F140" s="35" t="n">
        <v>0.75</v>
      </c>
      <c r="G140" s="35" t="n">
        <v>0</v>
      </c>
      <c r="H140" s="35">
        <f>IFERROR(IF('03_ALTERNATIF'!$J$19="Benefit",(C140-$C$227)/($C$226-$C$227),($C$226-C140)/($C$226-$C$227)),1)</f>
        <v/>
      </c>
      <c r="I140" s="35">
        <f>IFERROR(IF('03_ALTERNATIF'!$K$19="Benefit",(D140-$D$227)/($D$226-$D$227),($D$226-D140)/($D$226-$D$227)),1)</f>
        <v/>
      </c>
      <c r="J140" s="35">
        <f>IFERROR(IF('03_ALTERNATIF'!$L$19="Benefit",(E140-$E$227)/($E$226-$E$227),($E$226-E140)/($E$226-$E$227)),1)</f>
        <v/>
      </c>
      <c r="K140" s="35">
        <f>IFERROR(IF('03_ALTERNATIF'!$M$19="Benefit",(F140-$F$227)/($F$226-$F$227),($F$226-F140)/($F$226-$F$227)),1)</f>
        <v/>
      </c>
      <c r="L140" s="35">
        <f>IFERROR(IF('03_ALTERNATIF'!$N$19="Benefit",(G140-$G$227)/($G$226-$G$227),($G$226-G140)/($G$226-$G$227)),1)</f>
        <v/>
      </c>
      <c r="M140" s="40">
        <f>SUMPRODUCT($H140:$L140,$H$228:$L$228)</f>
        <v/>
      </c>
      <c r="N140" s="10">
        <f>RANK.EQ($M140,$M$4:$M$224,0)</f>
        <v/>
      </c>
    </row>
    <row r="141" ht="15" customHeight="1">
      <c r="A141" s="10" t="inlineStr">
        <is>
          <t>JOB-1339</t>
        </is>
      </c>
      <c r="B141" s="6" t="inlineStr">
        <is>
          <t>Okupasi Terapis</t>
        </is>
      </c>
      <c r="C141" s="35" t="n">
        <v>0.3</v>
      </c>
      <c r="D141" s="35" t="n">
        <v>1.6667</v>
      </c>
      <c r="E141" s="35" t="n">
        <v>0.8</v>
      </c>
      <c r="F141" s="35" t="n">
        <v>0.75</v>
      </c>
      <c r="G141" s="35" t="n">
        <v>0</v>
      </c>
      <c r="H141" s="35">
        <f>IFERROR(IF('03_ALTERNATIF'!$J$19="Benefit",(C141-$C$227)/($C$226-$C$227),($C$226-C141)/($C$226-$C$227)),1)</f>
        <v/>
      </c>
      <c r="I141" s="35">
        <f>IFERROR(IF('03_ALTERNATIF'!$K$19="Benefit",(D141-$D$227)/($D$226-$D$227),($D$226-D141)/($D$226-$D$227)),1)</f>
        <v/>
      </c>
      <c r="J141" s="35">
        <f>IFERROR(IF('03_ALTERNATIF'!$L$19="Benefit",(E141-$E$227)/($E$226-$E$227),($E$226-E141)/($E$226-$E$227)),1)</f>
        <v/>
      </c>
      <c r="K141" s="35">
        <f>IFERROR(IF('03_ALTERNATIF'!$M$19="Benefit",(F141-$F$227)/($F$226-$F$227),($F$226-F141)/($F$226-$F$227)),1)</f>
        <v/>
      </c>
      <c r="L141" s="35">
        <f>IFERROR(IF('03_ALTERNATIF'!$N$19="Benefit",(G141-$G$227)/($G$226-$G$227),($G$226-G141)/($G$226-$G$227)),1)</f>
        <v/>
      </c>
      <c r="M141" s="40">
        <f>SUMPRODUCT($H141:$L141,$H$228:$L$228)</f>
        <v/>
      </c>
      <c r="N141" s="10">
        <f>RANK.EQ($M141,$M$4:$M$224,0)</f>
        <v/>
      </c>
    </row>
    <row r="142" ht="15" customHeight="1">
      <c r="A142" s="10" t="inlineStr">
        <is>
          <t>JOB-1002</t>
        </is>
      </c>
      <c r="B142" s="6" t="inlineStr">
        <is>
          <t>Graphic Designer</t>
        </is>
      </c>
      <c r="C142" s="35" t="n">
        <v>0.3</v>
      </c>
      <c r="D142" s="35" t="n">
        <v>1.4286</v>
      </c>
      <c r="E142" s="35" t="n">
        <v>1</v>
      </c>
      <c r="F142" s="35" t="n">
        <v>0.85</v>
      </c>
      <c r="G142" s="35" t="n">
        <v>0</v>
      </c>
      <c r="H142" s="35">
        <f>IFERROR(IF('03_ALTERNATIF'!$J$19="Benefit",(C142-$C$227)/($C$226-$C$227),($C$226-C142)/($C$226-$C$227)),1)</f>
        <v/>
      </c>
      <c r="I142" s="35">
        <f>IFERROR(IF('03_ALTERNATIF'!$K$19="Benefit",(D142-$D$227)/($D$226-$D$227),($D$226-D142)/($D$226-$D$227)),1)</f>
        <v/>
      </c>
      <c r="J142" s="35">
        <f>IFERROR(IF('03_ALTERNATIF'!$L$19="Benefit",(E142-$E$227)/($E$226-$E$227),($E$226-E142)/($E$226-$E$227)),1)</f>
        <v/>
      </c>
      <c r="K142" s="35">
        <f>IFERROR(IF('03_ALTERNATIF'!$M$19="Benefit",(F142-$F$227)/($F$226-$F$227),($F$226-F142)/($F$226-$F$227)),1)</f>
        <v/>
      </c>
      <c r="L142" s="35">
        <f>IFERROR(IF('03_ALTERNATIF'!$N$19="Benefit",(G142-$G$227)/($G$226-$G$227),($G$226-G142)/($G$226-$G$227)),1)</f>
        <v/>
      </c>
      <c r="M142" s="40">
        <f>SUMPRODUCT($H142:$L142,$H$228:$L$228)</f>
        <v/>
      </c>
      <c r="N142" s="10">
        <f>RANK.EQ($M142,$M$4:$M$224,0)</f>
        <v/>
      </c>
    </row>
    <row r="143" ht="15" customHeight="1">
      <c r="A143" s="10" t="inlineStr">
        <is>
          <t>JOB-1010</t>
        </is>
      </c>
      <c r="B143" s="6" t="inlineStr">
        <is>
          <t>Kurir Last-Mile</t>
        </is>
      </c>
      <c r="C143" s="35" t="n">
        <v>0.3</v>
      </c>
      <c r="D143" s="35" t="n">
        <v>1.9048</v>
      </c>
      <c r="E143" s="35" t="n">
        <v>0.4</v>
      </c>
      <c r="F143" s="35" t="n">
        <v>0.85</v>
      </c>
      <c r="G143" s="35" t="n">
        <v>0.0418</v>
      </c>
      <c r="H143" s="35">
        <f>IFERROR(IF('03_ALTERNATIF'!$J$19="Benefit",(C143-$C$227)/($C$226-$C$227),($C$226-C143)/($C$226-$C$227)),1)</f>
        <v/>
      </c>
      <c r="I143" s="35">
        <f>IFERROR(IF('03_ALTERNATIF'!$K$19="Benefit",(D143-$D$227)/($D$226-$D$227),($D$226-D143)/($D$226-$D$227)),1)</f>
        <v/>
      </c>
      <c r="J143" s="35">
        <f>IFERROR(IF('03_ALTERNATIF'!$L$19="Benefit",(E143-$E$227)/($E$226-$E$227),($E$226-E143)/($E$226-$E$227)),1)</f>
        <v/>
      </c>
      <c r="K143" s="35">
        <f>IFERROR(IF('03_ALTERNATIF'!$M$19="Benefit",(F143-$F$227)/($F$226-$F$227),($F$226-F143)/($F$226-$F$227)),1)</f>
        <v/>
      </c>
      <c r="L143" s="35">
        <f>IFERROR(IF('03_ALTERNATIF'!$N$19="Benefit",(G143-$G$227)/($G$226-$G$227),($G$226-G143)/($G$226-$G$227)),1)</f>
        <v/>
      </c>
      <c r="M143" s="40">
        <f>SUMPRODUCT($H143:$L143,$H$228:$L$228)</f>
        <v/>
      </c>
      <c r="N143" s="10">
        <f>RANK.EQ($M143,$M$4:$M$224,0)</f>
        <v/>
      </c>
    </row>
    <row r="144" ht="15" customHeight="1">
      <c r="A144" s="10" t="inlineStr">
        <is>
          <t>JOB-1211</t>
        </is>
      </c>
      <c r="B144" s="6" t="inlineStr">
        <is>
          <t>Operator Air Minum Paruh Waktu</t>
        </is>
      </c>
      <c r="C144" s="35" t="n">
        <v>0.3</v>
      </c>
      <c r="D144" s="35" t="n">
        <v>1.6667</v>
      </c>
      <c r="E144" s="35" t="n">
        <v>0.8</v>
      </c>
      <c r="F144" s="35" t="n">
        <v>0.55</v>
      </c>
      <c r="G144" s="35" t="n">
        <v>0.7528</v>
      </c>
      <c r="H144" s="35">
        <f>IFERROR(IF('03_ALTERNATIF'!$J$19="Benefit",(C144-$C$227)/($C$226-$C$227),($C$226-C144)/($C$226-$C$227)),1)</f>
        <v/>
      </c>
      <c r="I144" s="35">
        <f>IFERROR(IF('03_ALTERNATIF'!$K$19="Benefit",(D144-$D$227)/($D$226-$D$227),($D$226-D144)/($D$226-$D$227)),1)</f>
        <v/>
      </c>
      <c r="J144" s="35">
        <f>IFERROR(IF('03_ALTERNATIF'!$L$19="Benefit",(E144-$E$227)/($E$226-$E$227),($E$226-E144)/($E$226-$E$227)),1)</f>
        <v/>
      </c>
      <c r="K144" s="35">
        <f>IFERROR(IF('03_ALTERNATIF'!$M$19="Benefit",(F144-$F$227)/($F$226-$F$227),($F$226-F144)/($F$226-$F$227)),1)</f>
        <v/>
      </c>
      <c r="L144" s="35">
        <f>IFERROR(IF('03_ALTERNATIF'!$N$19="Benefit",(G144-$G$227)/($G$226-$G$227),($G$226-G144)/($G$226-$G$227)),1)</f>
        <v/>
      </c>
      <c r="M144" s="40">
        <f>SUMPRODUCT($H144:$L144,$H$228:$L$228)</f>
        <v/>
      </c>
      <c r="N144" s="10">
        <f>RANK.EQ($M144,$M$4:$M$224,0)</f>
        <v/>
      </c>
    </row>
    <row r="145" ht="15" customHeight="1">
      <c r="A145" s="10" t="inlineStr">
        <is>
          <t>JOB-1315</t>
        </is>
      </c>
      <c r="B145" s="6" t="inlineStr">
        <is>
          <t>Host Live Streaming</t>
        </is>
      </c>
      <c r="C145" s="35" t="n">
        <v>0.3</v>
      </c>
      <c r="D145" s="35" t="n">
        <v>1.8095</v>
      </c>
      <c r="E145" s="35" t="n">
        <v>0.4</v>
      </c>
      <c r="F145" s="35" t="n">
        <v>0.95</v>
      </c>
      <c r="G145" s="35" t="n">
        <v>0.0457</v>
      </c>
      <c r="H145" s="35">
        <f>IFERROR(IF('03_ALTERNATIF'!$J$19="Benefit",(C145-$C$227)/($C$226-$C$227),($C$226-C145)/($C$226-$C$227)),1)</f>
        <v/>
      </c>
      <c r="I145" s="35">
        <f>IFERROR(IF('03_ALTERNATIF'!$K$19="Benefit",(D145-$D$227)/($D$226-$D$227),($D$226-D145)/($D$226-$D$227)),1)</f>
        <v/>
      </c>
      <c r="J145" s="35">
        <f>IFERROR(IF('03_ALTERNATIF'!$L$19="Benefit",(E145-$E$227)/($E$226-$E$227),($E$226-E145)/($E$226-$E$227)),1)</f>
        <v/>
      </c>
      <c r="K145" s="35">
        <f>IFERROR(IF('03_ALTERNATIF'!$M$19="Benefit",(F145-$F$227)/($F$226-$F$227),($F$226-F145)/($F$226-$F$227)),1)</f>
        <v/>
      </c>
      <c r="L145" s="35">
        <f>IFERROR(IF('03_ALTERNATIF'!$N$19="Benefit",(G145-$G$227)/($G$226-$G$227),($G$226-G145)/($G$226-$G$227)),1)</f>
        <v/>
      </c>
      <c r="M145" s="40">
        <f>SUMPRODUCT($H145:$L145,$H$228:$L$228)</f>
        <v/>
      </c>
      <c r="N145" s="10">
        <f>RANK.EQ($M145,$M$4:$M$224,0)</f>
        <v/>
      </c>
    </row>
    <row r="146" ht="15" customHeight="1">
      <c r="A146" s="10" t="inlineStr">
        <is>
          <t>JOB-1026</t>
        </is>
      </c>
      <c r="B146" s="6" t="inlineStr">
        <is>
          <t>Barista</t>
        </is>
      </c>
      <c r="C146" s="35" t="n">
        <v>0.3</v>
      </c>
      <c r="D146" s="35" t="n">
        <v>1.8095</v>
      </c>
      <c r="E146" s="35" t="n">
        <v>0.4</v>
      </c>
      <c r="F146" s="35" t="n">
        <v>0.95</v>
      </c>
      <c r="G146" s="35" t="n">
        <v>0</v>
      </c>
      <c r="H146" s="35">
        <f>IFERROR(IF('03_ALTERNATIF'!$J$19="Benefit",(C146-$C$227)/($C$226-$C$227),($C$226-C146)/($C$226-$C$227)),1)</f>
        <v/>
      </c>
      <c r="I146" s="35">
        <f>IFERROR(IF('03_ALTERNATIF'!$K$19="Benefit",(D146-$D$227)/($D$226-$D$227),($D$226-D146)/($D$226-$D$227)),1)</f>
        <v/>
      </c>
      <c r="J146" s="35">
        <f>IFERROR(IF('03_ALTERNATIF'!$L$19="Benefit",(E146-$E$227)/($E$226-$E$227),($E$226-E146)/($E$226-$E$227)),1)</f>
        <v/>
      </c>
      <c r="K146" s="35">
        <f>IFERROR(IF('03_ALTERNATIF'!$M$19="Benefit",(F146-$F$227)/($F$226-$F$227),($F$226-F146)/($F$226-$F$227)),1)</f>
        <v/>
      </c>
      <c r="L146" s="35">
        <f>IFERROR(IF('03_ALTERNATIF'!$N$19="Benefit",(G146-$G$227)/($G$226-$G$227),($G$226-G146)/($G$226-$G$227)),1)</f>
        <v/>
      </c>
      <c r="M146" s="40">
        <f>SUMPRODUCT($H146:$L146,$H$228:$L$228)</f>
        <v/>
      </c>
      <c r="N146" s="10">
        <f>RANK.EQ($M146,$M$4:$M$224,0)</f>
        <v/>
      </c>
    </row>
    <row r="147" ht="15" customHeight="1">
      <c r="A147" s="10" t="inlineStr">
        <is>
          <t>JOB-1089</t>
        </is>
      </c>
      <c r="B147" s="6" t="inlineStr">
        <is>
          <t>COOK</t>
        </is>
      </c>
      <c r="C147" s="35" t="n">
        <v>0.3</v>
      </c>
      <c r="D147" s="35" t="n">
        <v>1.8095</v>
      </c>
      <c r="E147" s="35" t="n">
        <v>0.4</v>
      </c>
      <c r="F147" s="35" t="n">
        <v>0.95</v>
      </c>
      <c r="G147" s="35" t="n">
        <v>0</v>
      </c>
      <c r="H147" s="35">
        <f>IFERROR(IF('03_ALTERNATIF'!$J$19="Benefit",(C147-$C$227)/($C$226-$C$227),($C$226-C147)/($C$226-$C$227)),1)</f>
        <v/>
      </c>
      <c r="I147" s="35">
        <f>IFERROR(IF('03_ALTERNATIF'!$K$19="Benefit",(D147-$D$227)/($D$226-$D$227),($D$226-D147)/($D$226-$D$227)),1)</f>
        <v/>
      </c>
      <c r="J147" s="35">
        <f>IFERROR(IF('03_ALTERNATIF'!$L$19="Benefit",(E147-$E$227)/($E$226-$E$227),($E$226-E147)/($E$226-$E$227)),1)</f>
        <v/>
      </c>
      <c r="K147" s="35">
        <f>IFERROR(IF('03_ALTERNATIF'!$M$19="Benefit",(F147-$F$227)/($F$226-$F$227),($F$226-F147)/($F$226-$F$227)),1)</f>
        <v/>
      </c>
      <c r="L147" s="35">
        <f>IFERROR(IF('03_ALTERNATIF'!$N$19="Benefit",(G147-$G$227)/($G$226-$G$227),($G$226-G147)/($G$226-$G$227)),1)</f>
        <v/>
      </c>
      <c r="M147" s="40">
        <f>SUMPRODUCT($H147:$L147,$H$228:$L$228)</f>
        <v/>
      </c>
      <c r="N147" s="10">
        <f>RANK.EQ($M147,$M$4:$M$224,0)</f>
        <v/>
      </c>
    </row>
    <row r="148" ht="15" customHeight="1">
      <c r="A148" s="10" t="inlineStr">
        <is>
          <t>JOB-1334</t>
        </is>
      </c>
      <c r="B148" s="6" t="inlineStr">
        <is>
          <t>Administrasi Staff</t>
        </is>
      </c>
      <c r="C148" s="35" t="n">
        <v>0.3</v>
      </c>
      <c r="D148" s="35" t="n">
        <v>1.6667</v>
      </c>
      <c r="E148" s="35" t="n">
        <v>0.4</v>
      </c>
      <c r="F148" s="35" t="n">
        <v>0.95</v>
      </c>
      <c r="G148" s="35" t="n">
        <v>0.7528</v>
      </c>
      <c r="H148" s="35">
        <f>IFERROR(IF('03_ALTERNATIF'!$J$19="Benefit",(C148-$C$227)/($C$226-$C$227),($C$226-C148)/($C$226-$C$227)),1)</f>
        <v/>
      </c>
      <c r="I148" s="35">
        <f>IFERROR(IF('03_ALTERNATIF'!$K$19="Benefit",(D148-$D$227)/($D$226-$D$227),($D$226-D148)/($D$226-$D$227)),1)</f>
        <v/>
      </c>
      <c r="J148" s="35">
        <f>IFERROR(IF('03_ALTERNATIF'!$L$19="Benefit",(E148-$E$227)/($E$226-$E$227),($E$226-E148)/($E$226-$E$227)),1)</f>
        <v/>
      </c>
      <c r="K148" s="35">
        <f>IFERROR(IF('03_ALTERNATIF'!$M$19="Benefit",(F148-$F$227)/($F$226-$F$227),($F$226-F148)/($F$226-$F$227)),1)</f>
        <v/>
      </c>
      <c r="L148" s="35">
        <f>IFERROR(IF('03_ALTERNATIF'!$N$19="Benefit",(G148-$G$227)/($G$226-$G$227),($G$226-G148)/($G$226-$G$227)),1)</f>
        <v/>
      </c>
      <c r="M148" s="40">
        <f>SUMPRODUCT($H148:$L148,$H$228:$L$228)</f>
        <v/>
      </c>
      <c r="N148" s="10">
        <f>RANK.EQ($M148,$M$4:$M$224,0)</f>
        <v/>
      </c>
    </row>
    <row r="149" ht="15" customHeight="1">
      <c r="A149" s="10" t="inlineStr">
        <is>
          <t>JOB-1225</t>
        </is>
      </c>
      <c r="B149" s="6" t="inlineStr">
        <is>
          <t>Temporary Office Boy Bekasi Area</t>
        </is>
      </c>
      <c r="C149" s="35" t="n">
        <v>0.3</v>
      </c>
      <c r="D149" s="35" t="n">
        <v>2</v>
      </c>
      <c r="E149" s="35" t="n">
        <v>0.4</v>
      </c>
      <c r="F149" s="35" t="n">
        <v>0.65</v>
      </c>
      <c r="G149" s="35" t="n">
        <v>0</v>
      </c>
      <c r="H149" s="35">
        <f>IFERROR(IF('03_ALTERNATIF'!$J$19="Benefit",(C149-$C$227)/($C$226-$C$227),($C$226-C149)/($C$226-$C$227)),1)</f>
        <v/>
      </c>
      <c r="I149" s="35">
        <f>IFERROR(IF('03_ALTERNATIF'!$K$19="Benefit",(D149-$D$227)/($D$226-$D$227),($D$226-D149)/($D$226-$D$227)),1)</f>
        <v/>
      </c>
      <c r="J149" s="35">
        <f>IFERROR(IF('03_ALTERNATIF'!$L$19="Benefit",(E149-$E$227)/($E$226-$E$227),($E$226-E149)/($E$226-$E$227)),1)</f>
        <v/>
      </c>
      <c r="K149" s="35">
        <f>IFERROR(IF('03_ALTERNATIF'!$M$19="Benefit",(F149-$F$227)/($F$226-$F$227),($F$226-F149)/($F$226-$F$227)),1)</f>
        <v/>
      </c>
      <c r="L149" s="35">
        <f>IFERROR(IF('03_ALTERNATIF'!$N$19="Benefit",(G149-$G$227)/($G$226-$G$227),($G$226-G149)/($G$226-$G$227)),1)</f>
        <v/>
      </c>
      <c r="M149" s="40">
        <f>SUMPRODUCT($H149:$L149,$H$228:$L$228)</f>
        <v/>
      </c>
      <c r="N149" s="10">
        <f>RANK.EQ($M149,$M$4:$M$224,0)</f>
        <v/>
      </c>
    </row>
    <row r="150" ht="15" customHeight="1">
      <c r="A150" s="10" t="inlineStr">
        <is>
          <t>JOB-1121</t>
        </is>
      </c>
      <c r="B150" s="6" t="inlineStr">
        <is>
          <t>Trainer Part Time</t>
        </is>
      </c>
      <c r="C150" s="35" t="n">
        <v>0.3</v>
      </c>
      <c r="D150" s="35" t="n">
        <v>1.6667</v>
      </c>
      <c r="E150" s="35" t="n">
        <v>0.8</v>
      </c>
      <c r="F150" s="35" t="n">
        <v>0.65</v>
      </c>
      <c r="G150" s="35" t="n">
        <v>0</v>
      </c>
      <c r="H150" s="35">
        <f>IFERROR(IF('03_ALTERNATIF'!$J$19="Benefit",(C150-$C$227)/($C$226-$C$227),($C$226-C150)/($C$226-$C$227)),1)</f>
        <v/>
      </c>
      <c r="I150" s="35">
        <f>IFERROR(IF('03_ALTERNATIF'!$K$19="Benefit",(D150-$D$227)/($D$226-$D$227),($D$226-D150)/($D$226-$D$227)),1)</f>
        <v/>
      </c>
      <c r="J150" s="35">
        <f>IFERROR(IF('03_ALTERNATIF'!$L$19="Benefit",(E150-$E$227)/($E$226-$E$227),($E$226-E150)/($E$226-$E$227)),1)</f>
        <v/>
      </c>
      <c r="K150" s="35">
        <f>IFERROR(IF('03_ALTERNATIF'!$M$19="Benefit",(F150-$F$227)/($F$226-$F$227),($F$226-F150)/($F$226-$F$227)),1)</f>
        <v/>
      </c>
      <c r="L150" s="35">
        <f>IFERROR(IF('03_ALTERNATIF'!$N$19="Benefit",(G150-$G$227)/($G$226-$G$227),($G$226-G150)/($G$226-$G$227)),1)</f>
        <v/>
      </c>
      <c r="M150" s="40">
        <f>SUMPRODUCT($H150:$L150,$H$228:$L$228)</f>
        <v/>
      </c>
      <c r="N150" s="10">
        <f>RANK.EQ($M150,$M$4:$M$224,0)</f>
        <v/>
      </c>
    </row>
    <row r="151" ht="15" customHeight="1">
      <c r="A151" s="10" t="inlineStr">
        <is>
          <t>JOB-1182</t>
        </is>
      </c>
      <c r="B151" s="6" t="inlineStr">
        <is>
          <t>Barista</t>
        </is>
      </c>
      <c r="C151" s="35" t="n">
        <v>0.3</v>
      </c>
      <c r="D151" s="35" t="n">
        <v>1.4286</v>
      </c>
      <c r="E151" s="35" t="n">
        <v>0.8</v>
      </c>
      <c r="F151" s="35" t="n">
        <v>0.95</v>
      </c>
      <c r="G151" s="35" t="n">
        <v>0.0663</v>
      </c>
      <c r="H151" s="35">
        <f>IFERROR(IF('03_ALTERNATIF'!$J$19="Benefit",(C151-$C$227)/($C$226-$C$227),($C$226-C151)/($C$226-$C$227)),1)</f>
        <v/>
      </c>
      <c r="I151" s="35">
        <f>IFERROR(IF('03_ALTERNATIF'!$K$19="Benefit",(D151-$D$227)/($D$226-$D$227),($D$226-D151)/($D$226-$D$227)),1)</f>
        <v/>
      </c>
      <c r="J151" s="35">
        <f>IFERROR(IF('03_ALTERNATIF'!$L$19="Benefit",(E151-$E$227)/($E$226-$E$227),($E$226-E151)/($E$226-$E$227)),1)</f>
        <v/>
      </c>
      <c r="K151" s="35">
        <f>IFERROR(IF('03_ALTERNATIF'!$M$19="Benefit",(F151-$F$227)/($F$226-$F$227),($F$226-F151)/($F$226-$F$227)),1)</f>
        <v/>
      </c>
      <c r="L151" s="35">
        <f>IFERROR(IF('03_ALTERNATIF'!$N$19="Benefit",(G151-$G$227)/($G$226-$G$227),($G$226-G151)/($G$226-$G$227)),1)</f>
        <v/>
      </c>
      <c r="M151" s="40">
        <f>SUMPRODUCT($H151:$L151,$H$228:$L$228)</f>
        <v/>
      </c>
      <c r="N151" s="10">
        <f>RANK.EQ($M151,$M$4:$M$224,0)</f>
        <v/>
      </c>
    </row>
    <row r="152" ht="15" customHeight="1">
      <c r="A152" s="10" t="inlineStr">
        <is>
          <t>JOB-1120</t>
        </is>
      </c>
      <c r="B152" s="6" t="inlineStr">
        <is>
          <t>Content Creator</t>
        </is>
      </c>
      <c r="C152" s="35" t="n">
        <v>0.3</v>
      </c>
      <c r="D152" s="35" t="n">
        <v>1.9048</v>
      </c>
      <c r="E152" s="35" t="n">
        <v>0.4</v>
      </c>
      <c r="F152" s="35" t="n">
        <v>0.75</v>
      </c>
      <c r="G152" s="35" t="n">
        <v>0</v>
      </c>
      <c r="H152" s="35">
        <f>IFERROR(IF('03_ALTERNATIF'!$J$19="Benefit",(C152-$C$227)/($C$226-$C$227),($C$226-C152)/($C$226-$C$227)),1)</f>
        <v/>
      </c>
      <c r="I152" s="35">
        <f>IFERROR(IF('03_ALTERNATIF'!$K$19="Benefit",(D152-$D$227)/($D$226-$D$227),($D$226-D152)/($D$226-$D$227)),1)</f>
        <v/>
      </c>
      <c r="J152" s="35">
        <f>IFERROR(IF('03_ALTERNATIF'!$L$19="Benefit",(E152-$E$227)/($E$226-$E$227),($E$226-E152)/($E$226-$E$227)),1)</f>
        <v/>
      </c>
      <c r="K152" s="35">
        <f>IFERROR(IF('03_ALTERNATIF'!$M$19="Benefit",(F152-$F$227)/($F$226-$F$227),($F$226-F152)/($F$226-$F$227)),1)</f>
        <v/>
      </c>
      <c r="L152" s="35">
        <f>IFERROR(IF('03_ALTERNATIF'!$N$19="Benefit",(G152-$G$227)/($G$226-$G$227),($G$226-G152)/($G$226-$G$227)),1)</f>
        <v/>
      </c>
      <c r="M152" s="40">
        <f>SUMPRODUCT($H152:$L152,$H$228:$L$228)</f>
        <v/>
      </c>
      <c r="N152" s="10">
        <f>RANK.EQ($M152,$M$4:$M$224,0)</f>
        <v/>
      </c>
    </row>
    <row r="153" ht="15" customHeight="1">
      <c r="A153" s="10" t="inlineStr">
        <is>
          <t>JOB-1035</t>
        </is>
      </c>
      <c r="B153" s="6" t="inlineStr">
        <is>
          <t>Kurir Mitra Last-Mile Jakarta Utara</t>
        </is>
      </c>
      <c r="C153" s="35" t="n">
        <v>0.3</v>
      </c>
      <c r="D153" s="35" t="n">
        <v>1.3333</v>
      </c>
      <c r="E153" s="35" t="n">
        <v>1</v>
      </c>
      <c r="F153" s="35" t="n">
        <v>0.85</v>
      </c>
      <c r="G153" s="35" t="n">
        <v>0</v>
      </c>
      <c r="H153" s="35">
        <f>IFERROR(IF('03_ALTERNATIF'!$J$19="Benefit",(C153-$C$227)/($C$226-$C$227),($C$226-C153)/($C$226-$C$227)),1)</f>
        <v/>
      </c>
      <c r="I153" s="35">
        <f>IFERROR(IF('03_ALTERNATIF'!$K$19="Benefit",(D153-$D$227)/($D$226-$D$227),($D$226-D153)/($D$226-$D$227)),1)</f>
        <v/>
      </c>
      <c r="J153" s="35">
        <f>IFERROR(IF('03_ALTERNATIF'!$L$19="Benefit",(E153-$E$227)/($E$226-$E$227),($E$226-E153)/($E$226-$E$227)),1)</f>
        <v/>
      </c>
      <c r="K153" s="35">
        <f>IFERROR(IF('03_ALTERNATIF'!$M$19="Benefit",(F153-$F$227)/($F$226-$F$227),($F$226-F153)/($F$226-$F$227)),1)</f>
        <v/>
      </c>
      <c r="L153" s="35">
        <f>IFERROR(IF('03_ALTERNATIF'!$N$19="Benefit",(G153-$G$227)/($G$226-$G$227),($G$226-G153)/($G$226-$G$227)),1)</f>
        <v/>
      </c>
      <c r="M153" s="40">
        <f>SUMPRODUCT($H153:$L153,$H$228:$L$228)</f>
        <v/>
      </c>
      <c r="N153" s="10">
        <f>RANK.EQ($M153,$M$4:$M$224,0)</f>
        <v/>
      </c>
    </row>
    <row r="154" ht="15" customHeight="1">
      <c r="A154" s="10" t="inlineStr">
        <is>
          <t>JOB-1243</t>
        </is>
      </c>
      <c r="B154" s="6" t="inlineStr">
        <is>
          <t>Part Time Kitchen Crew - Resto NonHalal Crackling Gading Serpong</t>
        </is>
      </c>
      <c r="C154" s="35" t="n">
        <v>0.3</v>
      </c>
      <c r="D154" s="35" t="n">
        <v>1.8095</v>
      </c>
      <c r="E154" s="35" t="n">
        <v>0.4</v>
      </c>
      <c r="F154" s="35" t="n">
        <v>0.85</v>
      </c>
      <c r="G154" s="35" t="n">
        <v>0.06850000000000001</v>
      </c>
      <c r="H154" s="35">
        <f>IFERROR(IF('03_ALTERNATIF'!$J$19="Benefit",(C154-$C$227)/($C$226-$C$227),($C$226-C154)/($C$226-$C$227)),1)</f>
        <v/>
      </c>
      <c r="I154" s="35">
        <f>IFERROR(IF('03_ALTERNATIF'!$K$19="Benefit",(D154-$D$227)/($D$226-$D$227),($D$226-D154)/($D$226-$D$227)),1)</f>
        <v/>
      </c>
      <c r="J154" s="35">
        <f>IFERROR(IF('03_ALTERNATIF'!$L$19="Benefit",(E154-$E$227)/($E$226-$E$227),($E$226-E154)/($E$226-$E$227)),1)</f>
        <v/>
      </c>
      <c r="K154" s="35">
        <f>IFERROR(IF('03_ALTERNATIF'!$M$19="Benefit",(F154-$F$227)/($F$226-$F$227),($F$226-F154)/($F$226-$F$227)),1)</f>
        <v/>
      </c>
      <c r="L154" s="35">
        <f>IFERROR(IF('03_ALTERNATIF'!$N$19="Benefit",(G154-$G$227)/($G$226-$G$227),($G$226-G154)/($G$226-$G$227)),1)</f>
        <v/>
      </c>
      <c r="M154" s="40">
        <f>SUMPRODUCT($H154:$L154,$H$228:$L$228)</f>
        <v/>
      </c>
      <c r="N154" s="10">
        <f>RANK.EQ($M154,$M$4:$M$224,0)</f>
        <v/>
      </c>
    </row>
    <row r="155" ht="15" customHeight="1">
      <c r="A155" s="10" t="inlineStr">
        <is>
          <t>JOB-1358</t>
        </is>
      </c>
      <c r="B155" s="6" t="inlineStr">
        <is>
          <t>Mobile Coffee Shop</t>
        </is>
      </c>
      <c r="C155" s="35" t="n">
        <v>0.3</v>
      </c>
      <c r="D155" s="35" t="n">
        <v>1.8095</v>
      </c>
      <c r="E155" s="35" t="n">
        <v>0.4</v>
      </c>
      <c r="F155" s="35" t="n">
        <v>0.85</v>
      </c>
      <c r="G155" s="35" t="n">
        <v>0.0663</v>
      </c>
      <c r="H155" s="35">
        <f>IFERROR(IF('03_ALTERNATIF'!$J$19="Benefit",(C155-$C$227)/($C$226-$C$227),($C$226-C155)/($C$226-$C$227)),1)</f>
        <v/>
      </c>
      <c r="I155" s="35">
        <f>IFERROR(IF('03_ALTERNATIF'!$K$19="Benefit",(D155-$D$227)/($D$226-$D$227),($D$226-D155)/($D$226-$D$227)),1)</f>
        <v/>
      </c>
      <c r="J155" s="35">
        <f>IFERROR(IF('03_ALTERNATIF'!$L$19="Benefit",(E155-$E$227)/($E$226-$E$227),($E$226-E155)/($E$226-$E$227)),1)</f>
        <v/>
      </c>
      <c r="K155" s="35">
        <f>IFERROR(IF('03_ALTERNATIF'!$M$19="Benefit",(F155-$F$227)/($F$226-$F$227),($F$226-F155)/($F$226-$F$227)),1)</f>
        <v/>
      </c>
      <c r="L155" s="35">
        <f>IFERROR(IF('03_ALTERNATIF'!$N$19="Benefit",(G155-$G$227)/($G$226-$G$227),($G$226-G155)/($G$226-$G$227)),1)</f>
        <v/>
      </c>
      <c r="M155" s="40">
        <f>SUMPRODUCT($H155:$L155,$H$228:$L$228)</f>
        <v/>
      </c>
      <c r="N155" s="10">
        <f>RANK.EQ($M155,$M$4:$M$224,0)</f>
        <v/>
      </c>
    </row>
    <row r="156" ht="15" customHeight="1">
      <c r="A156" s="10" t="inlineStr">
        <is>
          <t>JOB-1076</t>
        </is>
      </c>
      <c r="B156" s="6" t="inlineStr">
        <is>
          <t>Content Creator Part Time</t>
        </is>
      </c>
      <c r="C156" s="35" t="n">
        <v>0.3</v>
      </c>
      <c r="D156" s="35" t="n">
        <v>1.8095</v>
      </c>
      <c r="E156" s="35" t="n">
        <v>0.4</v>
      </c>
      <c r="F156" s="35" t="n">
        <v>0.85</v>
      </c>
      <c r="G156" s="35" t="n">
        <v>0</v>
      </c>
      <c r="H156" s="35">
        <f>IFERROR(IF('03_ALTERNATIF'!$J$19="Benefit",(C156-$C$227)/($C$226-$C$227),($C$226-C156)/($C$226-$C$227)),1)</f>
        <v/>
      </c>
      <c r="I156" s="35">
        <f>IFERROR(IF('03_ALTERNATIF'!$K$19="Benefit",(D156-$D$227)/($D$226-$D$227),($D$226-D156)/($D$226-$D$227)),1)</f>
        <v/>
      </c>
      <c r="J156" s="35">
        <f>IFERROR(IF('03_ALTERNATIF'!$L$19="Benefit",(E156-$E$227)/($E$226-$E$227),($E$226-E156)/($E$226-$E$227)),1)</f>
        <v/>
      </c>
      <c r="K156" s="35">
        <f>IFERROR(IF('03_ALTERNATIF'!$M$19="Benefit",(F156-$F$227)/($F$226-$F$227),($F$226-F156)/($F$226-$F$227)),1)</f>
        <v/>
      </c>
      <c r="L156" s="35">
        <f>IFERROR(IF('03_ALTERNATIF'!$N$19="Benefit",(G156-$G$227)/($G$226-$G$227),($G$226-G156)/($G$226-$G$227)),1)</f>
        <v/>
      </c>
      <c r="M156" s="40">
        <f>SUMPRODUCT($H156:$L156,$H$228:$L$228)</f>
        <v/>
      </c>
      <c r="N156" s="10">
        <f>RANK.EQ($M156,$M$4:$M$224,0)</f>
        <v/>
      </c>
    </row>
    <row r="157" ht="15" customHeight="1">
      <c r="A157" s="10" t="inlineStr">
        <is>
          <t>JOB-1155</t>
        </is>
      </c>
      <c r="B157" s="6" t="inlineStr">
        <is>
          <t>Crew outlet</t>
        </is>
      </c>
      <c r="C157" s="35" t="n">
        <v>0.3</v>
      </c>
      <c r="D157" s="35" t="n">
        <v>2</v>
      </c>
      <c r="E157" s="35" t="n">
        <v>0.4</v>
      </c>
      <c r="F157" s="35" t="n">
        <v>0.55</v>
      </c>
      <c r="G157" s="35" t="n">
        <v>0.062</v>
      </c>
      <c r="H157" s="35">
        <f>IFERROR(IF('03_ALTERNATIF'!$J$19="Benefit",(C157-$C$227)/($C$226-$C$227),($C$226-C157)/($C$226-$C$227)),1)</f>
        <v/>
      </c>
      <c r="I157" s="35">
        <f>IFERROR(IF('03_ALTERNATIF'!$K$19="Benefit",(D157-$D$227)/($D$226-$D$227),($D$226-D157)/($D$226-$D$227)),1)</f>
        <v/>
      </c>
      <c r="J157" s="35">
        <f>IFERROR(IF('03_ALTERNATIF'!$L$19="Benefit",(E157-$E$227)/($E$226-$E$227),($E$226-E157)/($E$226-$E$227)),1)</f>
        <v/>
      </c>
      <c r="K157" s="35">
        <f>IFERROR(IF('03_ALTERNATIF'!$M$19="Benefit",(F157-$F$227)/($F$226-$F$227),($F$226-F157)/($F$226-$F$227)),1)</f>
        <v/>
      </c>
      <c r="L157" s="35">
        <f>IFERROR(IF('03_ALTERNATIF'!$N$19="Benefit",(G157-$G$227)/($G$226-$G$227),($G$226-G157)/($G$226-$G$227)),1)</f>
        <v/>
      </c>
      <c r="M157" s="40">
        <f>SUMPRODUCT($H157:$L157,$H$228:$L$228)</f>
        <v/>
      </c>
      <c r="N157" s="10">
        <f>RANK.EQ($M157,$M$4:$M$224,0)</f>
        <v/>
      </c>
    </row>
    <row r="158" ht="15" customHeight="1">
      <c r="A158" s="10" t="inlineStr">
        <is>
          <t>JOB-1005</t>
        </is>
      </c>
      <c r="B158" s="6" t="inlineStr">
        <is>
          <t>Teacher Part Time Coding &amp; Robotic (AREA SOLO) WFO</t>
        </is>
      </c>
      <c r="C158" s="35" t="n">
        <v>0.3</v>
      </c>
      <c r="D158" s="35" t="n">
        <v>2</v>
      </c>
      <c r="E158" s="35" t="n">
        <v>0.4</v>
      </c>
      <c r="F158" s="35" t="n">
        <v>0.55</v>
      </c>
      <c r="G158" s="35" t="n">
        <v>0</v>
      </c>
      <c r="H158" s="35">
        <f>IFERROR(IF('03_ALTERNATIF'!$J$19="Benefit",(C158-$C$227)/($C$226-$C$227),($C$226-C158)/($C$226-$C$227)),1)</f>
        <v/>
      </c>
      <c r="I158" s="35">
        <f>IFERROR(IF('03_ALTERNATIF'!$K$19="Benefit",(D158-$D$227)/($D$226-$D$227),($D$226-D158)/($D$226-$D$227)),1)</f>
        <v/>
      </c>
      <c r="J158" s="35">
        <f>IFERROR(IF('03_ALTERNATIF'!$L$19="Benefit",(E158-$E$227)/($E$226-$E$227),($E$226-E158)/($E$226-$E$227)),1)</f>
        <v/>
      </c>
      <c r="K158" s="35">
        <f>IFERROR(IF('03_ALTERNATIF'!$M$19="Benefit",(F158-$F$227)/($F$226-$F$227),($F$226-F158)/($F$226-$F$227)),1)</f>
        <v/>
      </c>
      <c r="L158" s="35">
        <f>IFERROR(IF('03_ALTERNATIF'!$N$19="Benefit",(G158-$G$227)/($G$226-$G$227),($G$226-G158)/($G$226-$G$227)),1)</f>
        <v/>
      </c>
      <c r="M158" s="40">
        <f>SUMPRODUCT($H158:$L158,$H$228:$L$228)</f>
        <v/>
      </c>
      <c r="N158" s="10">
        <f>RANK.EQ($M158,$M$4:$M$224,0)</f>
        <v/>
      </c>
    </row>
    <row r="159" ht="15" customHeight="1">
      <c r="A159" s="10" t="inlineStr">
        <is>
          <t>JOB-1083</t>
        </is>
      </c>
      <c r="B159" s="6" t="inlineStr">
        <is>
          <t>Crew Store Bagi Kopi Margonda</t>
        </is>
      </c>
      <c r="C159" s="35" t="n">
        <v>0.3</v>
      </c>
      <c r="D159" s="35" t="n">
        <v>1.4286</v>
      </c>
      <c r="E159" s="35" t="n">
        <v>0.8</v>
      </c>
      <c r="F159" s="35" t="n">
        <v>0.85</v>
      </c>
      <c r="G159" s="35" t="n">
        <v>0.0663</v>
      </c>
      <c r="H159" s="35">
        <f>IFERROR(IF('03_ALTERNATIF'!$J$19="Benefit",(C159-$C$227)/($C$226-$C$227),($C$226-C159)/($C$226-$C$227)),1)</f>
        <v/>
      </c>
      <c r="I159" s="35">
        <f>IFERROR(IF('03_ALTERNATIF'!$K$19="Benefit",(D159-$D$227)/($D$226-$D$227),($D$226-D159)/($D$226-$D$227)),1)</f>
        <v/>
      </c>
      <c r="J159" s="35">
        <f>IFERROR(IF('03_ALTERNATIF'!$L$19="Benefit",(E159-$E$227)/($E$226-$E$227),($E$226-E159)/($E$226-$E$227)),1)</f>
        <v/>
      </c>
      <c r="K159" s="35">
        <f>IFERROR(IF('03_ALTERNATIF'!$M$19="Benefit",(F159-$F$227)/($F$226-$F$227),($F$226-F159)/($F$226-$F$227)),1)</f>
        <v/>
      </c>
      <c r="L159" s="35">
        <f>IFERROR(IF('03_ALTERNATIF'!$N$19="Benefit",(G159-$G$227)/($G$226-$G$227),($G$226-G159)/($G$226-$G$227)),1)</f>
        <v/>
      </c>
      <c r="M159" s="40">
        <f>SUMPRODUCT($H159:$L159,$H$228:$L$228)</f>
        <v/>
      </c>
      <c r="N159" s="10">
        <f>RANK.EQ($M159,$M$4:$M$224,0)</f>
        <v/>
      </c>
    </row>
    <row r="160" ht="15" customHeight="1">
      <c r="A160" s="10" t="inlineStr">
        <is>
          <t>JOB-1249</t>
        </is>
      </c>
      <c r="B160" s="6" t="inlineStr">
        <is>
          <t>Desainer Grafis</t>
        </is>
      </c>
      <c r="C160" s="35" t="n">
        <v>0.3</v>
      </c>
      <c r="D160" s="35" t="n">
        <v>1.4286</v>
      </c>
      <c r="E160" s="35" t="n">
        <v>0.8</v>
      </c>
      <c r="F160" s="35" t="n">
        <v>0.85</v>
      </c>
      <c r="G160" s="35" t="n">
        <v>0</v>
      </c>
      <c r="H160" s="35">
        <f>IFERROR(IF('03_ALTERNATIF'!$J$19="Benefit",(C160-$C$227)/($C$226-$C$227),($C$226-C160)/($C$226-$C$227)),1)</f>
        <v/>
      </c>
      <c r="I160" s="35">
        <f>IFERROR(IF('03_ALTERNATIF'!$K$19="Benefit",(D160-$D$227)/($D$226-$D$227),($D$226-D160)/($D$226-$D$227)),1)</f>
        <v/>
      </c>
      <c r="J160" s="35">
        <f>IFERROR(IF('03_ALTERNATIF'!$L$19="Benefit",(E160-$E$227)/($E$226-$E$227),($E$226-E160)/($E$226-$E$227)),1)</f>
        <v/>
      </c>
      <c r="K160" s="35">
        <f>IFERROR(IF('03_ALTERNATIF'!$M$19="Benefit",(F160-$F$227)/($F$226-$F$227),($F$226-F160)/($F$226-$F$227)),1)</f>
        <v/>
      </c>
      <c r="L160" s="35">
        <f>IFERROR(IF('03_ALTERNATIF'!$N$19="Benefit",(G160-$G$227)/($G$226-$G$227),($G$226-G160)/($G$226-$G$227)),1)</f>
        <v/>
      </c>
      <c r="M160" s="40">
        <f>SUMPRODUCT($H160:$L160,$H$228:$L$228)</f>
        <v/>
      </c>
      <c r="N160" s="10">
        <f>RANK.EQ($M160,$M$4:$M$224,0)</f>
        <v/>
      </c>
    </row>
    <row r="161" ht="15" customHeight="1">
      <c r="A161" s="10" t="inlineStr">
        <is>
          <t>JOB-1031</t>
        </is>
      </c>
      <c r="B161" s="6" t="inlineStr">
        <is>
          <t>Content Creator — Moms &amp; Baby WFH / HYBRID</t>
        </is>
      </c>
      <c r="C161" s="35" t="n">
        <v>0.3</v>
      </c>
      <c r="D161" s="35" t="n">
        <v>1.8095</v>
      </c>
      <c r="E161" s="35" t="n">
        <v>0.4</v>
      </c>
      <c r="F161" s="35" t="n">
        <v>0.75</v>
      </c>
      <c r="G161" s="35" t="n">
        <v>0.0457</v>
      </c>
      <c r="H161" s="35">
        <f>IFERROR(IF('03_ALTERNATIF'!$J$19="Benefit",(C161-$C$227)/($C$226-$C$227),($C$226-C161)/($C$226-$C$227)),1)</f>
        <v/>
      </c>
      <c r="I161" s="35">
        <f>IFERROR(IF('03_ALTERNATIF'!$K$19="Benefit",(D161-$D$227)/($D$226-$D$227),($D$226-D161)/($D$226-$D$227)),1)</f>
        <v/>
      </c>
      <c r="J161" s="35">
        <f>IFERROR(IF('03_ALTERNATIF'!$L$19="Benefit",(E161-$E$227)/($E$226-$E$227),($E$226-E161)/($E$226-$E$227)),1)</f>
        <v/>
      </c>
      <c r="K161" s="35">
        <f>IFERROR(IF('03_ALTERNATIF'!$M$19="Benefit",(F161-$F$227)/($F$226-$F$227),($F$226-F161)/($F$226-$F$227)),1)</f>
        <v/>
      </c>
      <c r="L161" s="35">
        <f>IFERROR(IF('03_ALTERNATIF'!$N$19="Benefit",(G161-$G$227)/($G$226-$G$227),($G$226-G161)/($G$226-$G$227)),1)</f>
        <v/>
      </c>
      <c r="M161" s="40">
        <f>SUMPRODUCT($H161:$L161,$H$228:$L$228)</f>
        <v/>
      </c>
      <c r="N161" s="10">
        <f>RANK.EQ($M161,$M$4:$M$224,0)</f>
        <v/>
      </c>
    </row>
    <row r="162" ht="15" customHeight="1">
      <c r="A162" s="10" t="inlineStr">
        <is>
          <t>JOB-1363</t>
        </is>
      </c>
      <c r="B162" s="6" t="inlineStr">
        <is>
          <t>Staff Admin Receptionist</t>
        </is>
      </c>
      <c r="C162" s="35" t="n">
        <v>0.3</v>
      </c>
      <c r="D162" s="35" t="n">
        <v>1.6667</v>
      </c>
      <c r="E162" s="35" t="n">
        <v>0.4</v>
      </c>
      <c r="F162" s="35" t="n">
        <v>0.95</v>
      </c>
      <c r="G162" s="35" t="n">
        <v>0.0402</v>
      </c>
      <c r="H162" s="35">
        <f>IFERROR(IF('03_ALTERNATIF'!$J$19="Benefit",(C162-$C$227)/($C$226-$C$227),($C$226-C162)/($C$226-$C$227)),1)</f>
        <v/>
      </c>
      <c r="I162" s="35">
        <f>IFERROR(IF('03_ALTERNATIF'!$K$19="Benefit",(D162-$D$227)/($D$226-$D$227),($D$226-D162)/($D$226-$D$227)),1)</f>
        <v/>
      </c>
      <c r="J162" s="35">
        <f>IFERROR(IF('03_ALTERNATIF'!$L$19="Benefit",(E162-$E$227)/($E$226-$E$227),($E$226-E162)/($E$226-$E$227)),1)</f>
        <v/>
      </c>
      <c r="K162" s="35">
        <f>IFERROR(IF('03_ALTERNATIF'!$M$19="Benefit",(F162-$F$227)/($F$226-$F$227),($F$226-F162)/($F$226-$F$227)),1)</f>
        <v/>
      </c>
      <c r="L162" s="35">
        <f>IFERROR(IF('03_ALTERNATIF'!$N$19="Benefit",(G162-$G$227)/($G$226-$G$227),($G$226-G162)/($G$226-$G$227)),1)</f>
        <v/>
      </c>
      <c r="M162" s="40">
        <f>SUMPRODUCT($H162:$L162,$H$228:$L$228)</f>
        <v/>
      </c>
      <c r="N162" s="10">
        <f>RANK.EQ($M162,$M$4:$M$224,0)</f>
        <v/>
      </c>
    </row>
    <row r="163" ht="15" customHeight="1">
      <c r="A163" s="10" t="inlineStr">
        <is>
          <t>JOB-1071</t>
        </is>
      </c>
      <c r="B163" s="6" t="inlineStr">
        <is>
          <t>Coding Instructor – Part Time</t>
        </is>
      </c>
      <c r="C163" s="35" t="n">
        <v>0.3</v>
      </c>
      <c r="D163" s="35" t="n">
        <v>1.3333</v>
      </c>
      <c r="E163" s="35" t="n">
        <v>0.8</v>
      </c>
      <c r="F163" s="35" t="n">
        <v>0.95</v>
      </c>
      <c r="G163" s="35" t="n">
        <v>0.0482</v>
      </c>
      <c r="H163" s="35">
        <f>IFERROR(IF('03_ALTERNATIF'!$J$19="Benefit",(C163-$C$227)/($C$226-$C$227),($C$226-C163)/($C$226-$C$227)),1)</f>
        <v/>
      </c>
      <c r="I163" s="35">
        <f>IFERROR(IF('03_ALTERNATIF'!$K$19="Benefit",(D163-$D$227)/($D$226-$D$227),($D$226-D163)/($D$226-$D$227)),1)</f>
        <v/>
      </c>
      <c r="J163" s="35">
        <f>IFERROR(IF('03_ALTERNATIF'!$L$19="Benefit",(E163-$E$227)/($E$226-$E$227),($E$226-E163)/($E$226-$E$227)),1)</f>
        <v/>
      </c>
      <c r="K163" s="35">
        <f>IFERROR(IF('03_ALTERNATIF'!$M$19="Benefit",(F163-$F$227)/($F$226-$F$227),($F$226-F163)/($F$226-$F$227)),1)</f>
        <v/>
      </c>
      <c r="L163" s="35">
        <f>IFERROR(IF('03_ALTERNATIF'!$N$19="Benefit",(G163-$G$227)/($G$226-$G$227),($G$226-G163)/($G$226-$G$227)),1)</f>
        <v/>
      </c>
      <c r="M163" s="40">
        <f>SUMPRODUCT($H163:$L163,$H$228:$L$228)</f>
        <v/>
      </c>
      <c r="N163" s="10">
        <f>RANK.EQ($M163,$M$4:$M$224,0)</f>
        <v/>
      </c>
    </row>
    <row r="164" ht="15" customHeight="1">
      <c r="A164" s="10" t="inlineStr">
        <is>
          <t>JOB-1060</t>
        </is>
      </c>
      <c r="B164" s="6" t="inlineStr">
        <is>
          <t>Business Development Manulife Indonesia</t>
        </is>
      </c>
      <c r="C164" s="35" t="n">
        <v>0.3</v>
      </c>
      <c r="D164" s="35" t="n">
        <v>1.8095</v>
      </c>
      <c r="E164" s="35" t="n">
        <v>0.4</v>
      </c>
      <c r="F164" s="35" t="n">
        <v>0.75</v>
      </c>
      <c r="G164" s="35" t="n">
        <v>0</v>
      </c>
      <c r="H164" s="35">
        <f>IFERROR(IF('03_ALTERNATIF'!$J$19="Benefit",(C164-$C$227)/($C$226-$C$227),($C$226-C164)/($C$226-$C$227)),1)</f>
        <v/>
      </c>
      <c r="I164" s="35">
        <f>IFERROR(IF('03_ALTERNATIF'!$K$19="Benefit",(D164-$D$227)/($D$226-$D$227),($D$226-D164)/($D$226-$D$227)),1)</f>
        <v/>
      </c>
      <c r="J164" s="35">
        <f>IFERROR(IF('03_ALTERNATIF'!$L$19="Benefit",(E164-$E$227)/($E$226-$E$227),($E$226-E164)/($E$226-$E$227)),1)</f>
        <v/>
      </c>
      <c r="K164" s="35">
        <f>IFERROR(IF('03_ALTERNATIF'!$M$19="Benefit",(F164-$F$227)/($F$226-$F$227),($F$226-F164)/($F$226-$F$227)),1)</f>
        <v/>
      </c>
      <c r="L164" s="35">
        <f>IFERROR(IF('03_ALTERNATIF'!$N$19="Benefit",(G164-$G$227)/($G$226-$G$227),($G$226-G164)/($G$226-$G$227)),1)</f>
        <v/>
      </c>
      <c r="M164" s="40">
        <f>SUMPRODUCT($H164:$L164,$H$228:$L$228)</f>
        <v/>
      </c>
      <c r="N164" s="10">
        <f>RANK.EQ($M164,$M$4:$M$224,0)</f>
        <v/>
      </c>
    </row>
    <row r="165" ht="15" customHeight="1">
      <c r="A165" s="10" t="inlineStr">
        <is>
          <t>JOB-1032</t>
        </is>
      </c>
      <c r="B165" s="6" t="inlineStr">
        <is>
          <t>Aesthetic Doctor</t>
        </is>
      </c>
      <c r="C165" s="35" t="n">
        <v>0.3</v>
      </c>
      <c r="D165" s="35" t="n">
        <v>1.6667</v>
      </c>
      <c r="E165" s="35" t="n">
        <v>0.4</v>
      </c>
      <c r="F165" s="35" t="n">
        <v>0.95</v>
      </c>
      <c r="G165" s="35" t="n">
        <v>0</v>
      </c>
      <c r="H165" s="35">
        <f>IFERROR(IF('03_ALTERNATIF'!$J$19="Benefit",(C165-$C$227)/($C$226-$C$227),($C$226-C165)/($C$226-$C$227)),1)</f>
        <v/>
      </c>
      <c r="I165" s="35">
        <f>IFERROR(IF('03_ALTERNATIF'!$K$19="Benefit",(D165-$D$227)/($D$226-$D$227),($D$226-D165)/($D$226-$D$227)),1)</f>
        <v/>
      </c>
      <c r="J165" s="35">
        <f>IFERROR(IF('03_ALTERNATIF'!$L$19="Benefit",(E165-$E$227)/($E$226-$E$227),($E$226-E165)/($E$226-$E$227)),1)</f>
        <v/>
      </c>
      <c r="K165" s="35">
        <f>IFERROR(IF('03_ALTERNATIF'!$M$19="Benefit",(F165-$F$227)/($F$226-$F$227),($F$226-F165)/($F$226-$F$227)),1)</f>
        <v/>
      </c>
      <c r="L165" s="35">
        <f>IFERROR(IF('03_ALTERNATIF'!$N$19="Benefit",(G165-$G$227)/($G$226-$G$227),($G$226-G165)/($G$226-$G$227)),1)</f>
        <v/>
      </c>
      <c r="M165" s="40">
        <f>SUMPRODUCT($H165:$L165,$H$228:$L$228)</f>
        <v/>
      </c>
      <c r="N165" s="10">
        <f>RANK.EQ($M165,$M$4:$M$224,0)</f>
        <v/>
      </c>
    </row>
    <row r="166" ht="15" customHeight="1">
      <c r="A166" s="10" t="inlineStr">
        <is>
          <t>JOB-1228</t>
        </is>
      </c>
      <c r="B166" s="6" t="inlineStr">
        <is>
          <t>Operator Laundry (Part Time)</t>
        </is>
      </c>
      <c r="C166" s="35" t="n">
        <v>0.3</v>
      </c>
      <c r="D166" s="35" t="n">
        <v>1.6667</v>
      </c>
      <c r="E166" s="35" t="n">
        <v>0.4</v>
      </c>
      <c r="F166" s="35" t="n">
        <v>0.95</v>
      </c>
      <c r="G166" s="35" t="n">
        <v>0</v>
      </c>
      <c r="H166" s="35">
        <f>IFERROR(IF('03_ALTERNATIF'!$J$19="Benefit",(C166-$C$227)/($C$226-$C$227),($C$226-C166)/($C$226-$C$227)),1)</f>
        <v/>
      </c>
      <c r="I166" s="35">
        <f>IFERROR(IF('03_ALTERNATIF'!$K$19="Benefit",(D166-$D$227)/($D$226-$D$227),($D$226-D166)/($D$226-$D$227)),1)</f>
        <v/>
      </c>
      <c r="J166" s="35">
        <f>IFERROR(IF('03_ALTERNATIF'!$L$19="Benefit",(E166-$E$227)/($E$226-$E$227),($E$226-E166)/($E$226-$E$227)),1)</f>
        <v/>
      </c>
      <c r="K166" s="35">
        <f>IFERROR(IF('03_ALTERNATIF'!$M$19="Benefit",(F166-$F$227)/($F$226-$F$227),($F$226-F166)/($F$226-$F$227)),1)</f>
        <v/>
      </c>
      <c r="L166" s="35">
        <f>IFERROR(IF('03_ALTERNATIF'!$N$19="Benefit",(G166-$G$227)/($G$226-$G$227),($G$226-G166)/($G$226-$G$227)),1)</f>
        <v/>
      </c>
      <c r="M166" s="40">
        <f>SUMPRODUCT($H166:$L166,$H$228:$L$228)</f>
        <v/>
      </c>
      <c r="N166" s="10">
        <f>RANK.EQ($M166,$M$4:$M$224,0)</f>
        <v/>
      </c>
    </row>
    <row r="167" ht="15" customHeight="1">
      <c r="A167" s="10" t="inlineStr">
        <is>
          <t>JOB-1136</t>
        </is>
      </c>
      <c r="B167" s="6" t="inlineStr">
        <is>
          <t>Content Designer Team</t>
        </is>
      </c>
      <c r="C167" s="35" t="n">
        <v>0.3</v>
      </c>
      <c r="D167" s="35" t="n">
        <v>1.4286</v>
      </c>
      <c r="E167" s="35" t="n">
        <v>1</v>
      </c>
      <c r="F167" s="35" t="n">
        <v>0.55</v>
      </c>
      <c r="G167" s="35" t="n">
        <v>0</v>
      </c>
      <c r="H167" s="35">
        <f>IFERROR(IF('03_ALTERNATIF'!$J$19="Benefit",(C167-$C$227)/($C$226-$C$227),($C$226-C167)/($C$226-$C$227)),1)</f>
        <v/>
      </c>
      <c r="I167" s="35">
        <f>IFERROR(IF('03_ALTERNATIF'!$K$19="Benefit",(D167-$D$227)/($D$226-$D$227),($D$226-D167)/($D$226-$D$227)),1)</f>
        <v/>
      </c>
      <c r="J167" s="35">
        <f>IFERROR(IF('03_ALTERNATIF'!$L$19="Benefit",(E167-$E$227)/($E$226-$E$227),($E$226-E167)/($E$226-$E$227)),1)</f>
        <v/>
      </c>
      <c r="K167" s="35">
        <f>IFERROR(IF('03_ALTERNATIF'!$M$19="Benefit",(F167-$F$227)/($F$226-$F$227),($F$226-F167)/($F$226-$F$227)),1)</f>
        <v/>
      </c>
      <c r="L167" s="35">
        <f>IFERROR(IF('03_ALTERNATIF'!$N$19="Benefit",(G167-$G$227)/($G$226-$G$227),($G$226-G167)/($G$226-$G$227)),1)</f>
        <v/>
      </c>
      <c r="M167" s="40">
        <f>SUMPRODUCT($H167:$L167,$H$228:$L$228)</f>
        <v/>
      </c>
      <c r="N167" s="10">
        <f>RANK.EQ($M167,$M$4:$M$224,0)</f>
        <v/>
      </c>
    </row>
    <row r="168" ht="15" customHeight="1">
      <c r="A168" s="10" t="inlineStr">
        <is>
          <t>JOB-1341</t>
        </is>
      </c>
      <c r="B168" s="6" t="inlineStr">
        <is>
          <t>Barista</t>
        </is>
      </c>
      <c r="C168" s="35" t="n">
        <v>0.3</v>
      </c>
      <c r="D168" s="35" t="n">
        <v>1.4286</v>
      </c>
      <c r="E168" s="35" t="n">
        <v>0.8</v>
      </c>
      <c r="F168" s="35" t="n">
        <v>0.75</v>
      </c>
      <c r="G168" s="35" t="n">
        <v>0.06850000000000001</v>
      </c>
      <c r="H168" s="35">
        <f>IFERROR(IF('03_ALTERNATIF'!$J$19="Benefit",(C168-$C$227)/($C$226-$C$227),($C$226-C168)/($C$226-$C$227)),1)</f>
        <v/>
      </c>
      <c r="I168" s="35">
        <f>IFERROR(IF('03_ALTERNATIF'!$K$19="Benefit",(D168-$D$227)/($D$226-$D$227),($D$226-D168)/($D$226-$D$227)),1)</f>
        <v/>
      </c>
      <c r="J168" s="35">
        <f>IFERROR(IF('03_ALTERNATIF'!$L$19="Benefit",(E168-$E$227)/($E$226-$E$227),($E$226-E168)/($E$226-$E$227)),1)</f>
        <v/>
      </c>
      <c r="K168" s="35">
        <f>IFERROR(IF('03_ALTERNATIF'!$M$19="Benefit",(F168-$F$227)/($F$226-$F$227),($F$226-F168)/($F$226-$F$227)),1)</f>
        <v/>
      </c>
      <c r="L168" s="35">
        <f>IFERROR(IF('03_ALTERNATIF'!$N$19="Benefit",(G168-$G$227)/($G$226-$G$227),($G$226-G168)/($G$226-$G$227)),1)</f>
        <v/>
      </c>
      <c r="M168" s="40">
        <f>SUMPRODUCT($H168:$L168,$H$228:$L$228)</f>
        <v/>
      </c>
      <c r="N168" s="10">
        <f>RANK.EQ($M168,$M$4:$M$224,0)</f>
        <v/>
      </c>
    </row>
    <row r="169" ht="15" customHeight="1">
      <c r="A169" s="10" t="inlineStr">
        <is>
          <t>JOB-1272</t>
        </is>
      </c>
      <c r="B169" s="6" t="inlineStr">
        <is>
          <t>Waiter/Waiters</t>
        </is>
      </c>
      <c r="C169" s="35" t="n">
        <v>0.3</v>
      </c>
      <c r="D169" s="35" t="n">
        <v>1.4286</v>
      </c>
      <c r="E169" s="35" t="n">
        <v>0.8</v>
      </c>
      <c r="F169" s="35" t="n">
        <v>0.75</v>
      </c>
      <c r="G169" s="35" t="n">
        <v>0.0663</v>
      </c>
      <c r="H169" s="35">
        <f>IFERROR(IF('03_ALTERNATIF'!$J$19="Benefit",(C169-$C$227)/($C$226-$C$227),($C$226-C169)/($C$226-$C$227)),1)</f>
        <v/>
      </c>
      <c r="I169" s="35">
        <f>IFERROR(IF('03_ALTERNATIF'!$K$19="Benefit",(D169-$D$227)/($D$226-$D$227),($D$226-D169)/($D$226-$D$227)),1)</f>
        <v/>
      </c>
      <c r="J169" s="35">
        <f>IFERROR(IF('03_ALTERNATIF'!$L$19="Benefit",(E169-$E$227)/($E$226-$E$227),($E$226-E169)/($E$226-$E$227)),1)</f>
        <v/>
      </c>
      <c r="K169" s="35">
        <f>IFERROR(IF('03_ALTERNATIF'!$M$19="Benefit",(F169-$F$227)/($F$226-$F$227),($F$226-F169)/($F$226-$F$227)),1)</f>
        <v/>
      </c>
      <c r="L169" s="35">
        <f>IFERROR(IF('03_ALTERNATIF'!$N$19="Benefit",(G169-$G$227)/($G$226-$G$227),($G$226-G169)/($G$226-$G$227)),1)</f>
        <v/>
      </c>
      <c r="M169" s="40">
        <f>SUMPRODUCT($H169:$L169,$H$228:$L$228)</f>
        <v/>
      </c>
      <c r="N169" s="10">
        <f>RANK.EQ($M169,$M$4:$M$224,0)</f>
        <v/>
      </c>
    </row>
    <row r="170" ht="15" customHeight="1">
      <c r="A170" s="10" t="inlineStr">
        <is>
          <t>JOB-1316</t>
        </is>
      </c>
      <c r="B170" s="6" t="inlineStr">
        <is>
          <t>Guru Coding &amp; Robotik</t>
        </is>
      </c>
      <c r="C170" s="35" t="n">
        <v>0.3</v>
      </c>
      <c r="D170" s="35" t="n">
        <v>1.2857</v>
      </c>
      <c r="E170" s="35" t="n">
        <v>0.8</v>
      </c>
      <c r="F170" s="35" t="n">
        <v>0.95</v>
      </c>
      <c r="G170" s="35" t="n">
        <v>0</v>
      </c>
      <c r="H170" s="35">
        <f>IFERROR(IF('03_ALTERNATIF'!$J$19="Benefit",(C170-$C$227)/($C$226-$C$227),($C$226-C170)/($C$226-$C$227)),1)</f>
        <v/>
      </c>
      <c r="I170" s="35">
        <f>IFERROR(IF('03_ALTERNATIF'!$K$19="Benefit",(D170-$D$227)/($D$226-$D$227),($D$226-D170)/($D$226-$D$227)),1)</f>
        <v/>
      </c>
      <c r="J170" s="35">
        <f>IFERROR(IF('03_ALTERNATIF'!$L$19="Benefit",(E170-$E$227)/($E$226-$E$227),($E$226-E170)/($E$226-$E$227)),1)</f>
        <v/>
      </c>
      <c r="K170" s="35">
        <f>IFERROR(IF('03_ALTERNATIF'!$M$19="Benefit",(F170-$F$227)/($F$226-$F$227),($F$226-F170)/($F$226-$F$227)),1)</f>
        <v/>
      </c>
      <c r="L170" s="35">
        <f>IFERROR(IF('03_ALTERNATIF'!$N$19="Benefit",(G170-$G$227)/($G$226-$G$227),($G$226-G170)/($G$226-$G$227)),1)</f>
        <v/>
      </c>
      <c r="M170" s="40">
        <f>SUMPRODUCT($H170:$L170,$H$228:$L$228)</f>
        <v/>
      </c>
      <c r="N170" s="10">
        <f>RANK.EQ($M170,$M$4:$M$224,0)</f>
        <v/>
      </c>
    </row>
    <row r="171" ht="15" customHeight="1">
      <c r="A171" s="10" t="inlineStr">
        <is>
          <t>JOB-1125</t>
        </is>
      </c>
      <c r="B171" s="6" t="inlineStr">
        <is>
          <t>Barista</t>
        </is>
      </c>
      <c r="C171" s="35" t="n">
        <v>0.3</v>
      </c>
      <c r="D171" s="35" t="n">
        <v>1.6667</v>
      </c>
      <c r="E171" s="35" t="n">
        <v>0.4</v>
      </c>
      <c r="F171" s="35" t="n">
        <v>0.85</v>
      </c>
      <c r="G171" s="35" t="n">
        <v>0.0663</v>
      </c>
      <c r="H171" s="35">
        <f>IFERROR(IF('03_ALTERNATIF'!$J$19="Benefit",(C171-$C$227)/($C$226-$C$227),($C$226-C171)/($C$226-$C$227)),1)</f>
        <v/>
      </c>
      <c r="I171" s="35">
        <f>IFERROR(IF('03_ALTERNATIF'!$K$19="Benefit",(D171-$D$227)/($D$226-$D$227),($D$226-D171)/($D$226-$D$227)),1)</f>
        <v/>
      </c>
      <c r="J171" s="35">
        <f>IFERROR(IF('03_ALTERNATIF'!$L$19="Benefit",(E171-$E$227)/($E$226-$E$227),($E$226-E171)/($E$226-$E$227)),1)</f>
        <v/>
      </c>
      <c r="K171" s="35">
        <f>IFERROR(IF('03_ALTERNATIF'!$M$19="Benefit",(F171-$F$227)/($F$226-$F$227),($F$226-F171)/($F$226-$F$227)),1)</f>
        <v/>
      </c>
      <c r="L171" s="35">
        <f>IFERROR(IF('03_ALTERNATIF'!$N$19="Benefit",(G171-$G$227)/($G$226-$G$227),($G$226-G171)/($G$226-$G$227)),1)</f>
        <v/>
      </c>
      <c r="M171" s="40">
        <f>SUMPRODUCT($H171:$L171,$H$228:$L$228)</f>
        <v/>
      </c>
      <c r="N171" s="10">
        <f>RANK.EQ($M171,$M$4:$M$224,0)</f>
        <v/>
      </c>
    </row>
    <row r="172" ht="15" customHeight="1">
      <c r="A172" s="10" t="inlineStr">
        <is>
          <t>JOB-1357</t>
        </is>
      </c>
      <c r="B172" s="6" t="inlineStr">
        <is>
          <t>Mobile Coffee Shop Crew</t>
        </is>
      </c>
      <c r="C172" s="35" t="n">
        <v>0.3</v>
      </c>
      <c r="D172" s="35" t="n">
        <v>1.6667</v>
      </c>
      <c r="E172" s="35" t="n">
        <v>0.4</v>
      </c>
      <c r="F172" s="35" t="n">
        <v>0.85</v>
      </c>
      <c r="G172" s="35" t="n">
        <v>0.0663</v>
      </c>
      <c r="H172" s="35">
        <f>IFERROR(IF('03_ALTERNATIF'!$J$19="Benefit",(C172-$C$227)/($C$226-$C$227),($C$226-C172)/($C$226-$C$227)),1)</f>
        <v/>
      </c>
      <c r="I172" s="35">
        <f>IFERROR(IF('03_ALTERNATIF'!$K$19="Benefit",(D172-$D$227)/($D$226-$D$227),($D$226-D172)/($D$226-$D$227)),1)</f>
        <v/>
      </c>
      <c r="J172" s="35">
        <f>IFERROR(IF('03_ALTERNATIF'!$L$19="Benefit",(E172-$E$227)/($E$226-$E$227),($E$226-E172)/($E$226-$E$227)),1)</f>
        <v/>
      </c>
      <c r="K172" s="35">
        <f>IFERROR(IF('03_ALTERNATIF'!$M$19="Benefit",(F172-$F$227)/($F$226-$F$227),($F$226-F172)/($F$226-$F$227)),1)</f>
        <v/>
      </c>
      <c r="L172" s="35">
        <f>IFERROR(IF('03_ALTERNATIF'!$N$19="Benefit",(G172-$G$227)/($G$226-$G$227),($G$226-G172)/($G$226-$G$227)),1)</f>
        <v/>
      </c>
      <c r="M172" s="40">
        <f>SUMPRODUCT($H172:$L172,$H$228:$L$228)</f>
        <v/>
      </c>
      <c r="N172" s="10">
        <f>RANK.EQ($M172,$M$4:$M$224,0)</f>
        <v/>
      </c>
    </row>
    <row r="173" ht="15" customHeight="1">
      <c r="A173" s="10" t="inlineStr">
        <is>
          <t>JOB-1127</t>
        </is>
      </c>
      <c r="B173" s="6" t="inlineStr">
        <is>
          <t>Embedded Systems Engineer</t>
        </is>
      </c>
      <c r="C173" s="35" t="n">
        <v>0.3</v>
      </c>
      <c r="D173" s="35" t="n">
        <v>1.3333</v>
      </c>
      <c r="E173" s="35" t="n">
        <v>0.8</v>
      </c>
      <c r="F173" s="35" t="n">
        <v>0.85</v>
      </c>
      <c r="G173" s="35" t="n">
        <v>0.0569</v>
      </c>
      <c r="H173" s="35">
        <f>IFERROR(IF('03_ALTERNATIF'!$J$19="Benefit",(C173-$C$227)/($C$226-$C$227),($C$226-C173)/($C$226-$C$227)),1)</f>
        <v/>
      </c>
      <c r="I173" s="35">
        <f>IFERROR(IF('03_ALTERNATIF'!$K$19="Benefit",(D173-$D$227)/($D$226-$D$227),($D$226-D173)/($D$226-$D$227)),1)</f>
        <v/>
      </c>
      <c r="J173" s="35">
        <f>IFERROR(IF('03_ALTERNATIF'!$L$19="Benefit",(E173-$E$227)/($E$226-$E$227),($E$226-E173)/($E$226-$E$227)),1)</f>
        <v/>
      </c>
      <c r="K173" s="35">
        <f>IFERROR(IF('03_ALTERNATIF'!$M$19="Benefit",(F173-$F$227)/($F$226-$F$227),($F$226-F173)/($F$226-$F$227)),1)</f>
        <v/>
      </c>
      <c r="L173" s="35">
        <f>IFERROR(IF('03_ALTERNATIF'!$N$19="Benefit",(G173-$G$227)/($G$226-$G$227),($G$226-G173)/($G$226-$G$227)),1)</f>
        <v/>
      </c>
      <c r="M173" s="40">
        <f>SUMPRODUCT($H173:$L173,$H$228:$L$228)</f>
        <v/>
      </c>
      <c r="N173" s="10">
        <f>RANK.EQ($M173,$M$4:$M$224,0)</f>
        <v/>
      </c>
    </row>
    <row r="174" ht="15" customHeight="1">
      <c r="A174" s="10" t="inlineStr">
        <is>
          <t>JOB-1235</t>
        </is>
      </c>
      <c r="B174" s="6" t="inlineStr">
        <is>
          <t>Host Live Online Shop</t>
        </is>
      </c>
      <c r="C174" s="35" t="n">
        <v>0.3</v>
      </c>
      <c r="D174" s="35" t="n">
        <v>1.8095</v>
      </c>
      <c r="E174" s="35" t="n">
        <v>0.4</v>
      </c>
      <c r="F174" s="35" t="n">
        <v>0.65</v>
      </c>
      <c r="G174" s="35" t="n">
        <v>0</v>
      </c>
      <c r="H174" s="35">
        <f>IFERROR(IF('03_ALTERNATIF'!$J$19="Benefit",(C174-$C$227)/($C$226-$C$227),($C$226-C174)/($C$226-$C$227)),1)</f>
        <v/>
      </c>
      <c r="I174" s="35">
        <f>IFERROR(IF('03_ALTERNATIF'!$K$19="Benefit",(D174-$D$227)/($D$226-$D$227),($D$226-D174)/($D$226-$D$227)),1)</f>
        <v/>
      </c>
      <c r="J174" s="35">
        <f>IFERROR(IF('03_ALTERNATIF'!$L$19="Benefit",(E174-$E$227)/($E$226-$E$227),($E$226-E174)/($E$226-$E$227)),1)</f>
        <v/>
      </c>
      <c r="K174" s="35">
        <f>IFERROR(IF('03_ALTERNATIF'!$M$19="Benefit",(F174-$F$227)/($F$226-$F$227),($F$226-F174)/($F$226-$F$227)),1)</f>
        <v/>
      </c>
      <c r="L174" s="35">
        <f>IFERROR(IF('03_ALTERNATIF'!$N$19="Benefit",(G174-$G$227)/($G$226-$G$227),($G$226-G174)/($G$226-$G$227)),1)</f>
        <v/>
      </c>
      <c r="M174" s="40">
        <f>SUMPRODUCT($H174:$L174,$H$228:$L$228)</f>
        <v/>
      </c>
      <c r="N174" s="10">
        <f>RANK.EQ($M174,$M$4:$M$224,0)</f>
        <v/>
      </c>
    </row>
    <row r="175" ht="15" customHeight="1">
      <c r="A175" s="10" t="inlineStr">
        <is>
          <t>JOB-1068</t>
        </is>
      </c>
      <c r="B175" s="6" t="inlineStr">
        <is>
          <t>Content Creator</t>
        </is>
      </c>
      <c r="C175" s="35" t="n">
        <v>0.3</v>
      </c>
      <c r="D175" s="35" t="n">
        <v>1.6667</v>
      </c>
      <c r="E175" s="35" t="n">
        <v>0.4</v>
      </c>
      <c r="F175" s="35" t="n">
        <v>0.85</v>
      </c>
      <c r="G175" s="35" t="n">
        <v>0</v>
      </c>
      <c r="H175" s="35">
        <f>IFERROR(IF('03_ALTERNATIF'!$J$19="Benefit",(C175-$C$227)/($C$226-$C$227),($C$226-C175)/($C$226-$C$227)),1)</f>
        <v/>
      </c>
      <c r="I175" s="35">
        <f>IFERROR(IF('03_ALTERNATIF'!$K$19="Benefit",(D175-$D$227)/($D$226-$D$227),($D$226-D175)/($D$226-$D$227)),1)</f>
        <v/>
      </c>
      <c r="J175" s="35">
        <f>IFERROR(IF('03_ALTERNATIF'!$L$19="Benefit",(E175-$E$227)/($E$226-$E$227),($E$226-E175)/($E$226-$E$227)),1)</f>
        <v/>
      </c>
      <c r="K175" s="35">
        <f>IFERROR(IF('03_ALTERNATIF'!$M$19="Benefit",(F175-$F$227)/($F$226-$F$227),($F$226-F175)/($F$226-$F$227)),1)</f>
        <v/>
      </c>
      <c r="L175" s="35">
        <f>IFERROR(IF('03_ALTERNATIF'!$N$19="Benefit",(G175-$G$227)/($G$226-$G$227),($G$226-G175)/($G$226-$G$227)),1)</f>
        <v/>
      </c>
      <c r="M175" s="40">
        <f>SUMPRODUCT($H175:$L175,$H$228:$L$228)</f>
        <v/>
      </c>
      <c r="N175" s="10">
        <f>RANK.EQ($M175,$M$4:$M$224,0)</f>
        <v/>
      </c>
    </row>
    <row r="176" ht="15" customHeight="1">
      <c r="A176" s="10" t="inlineStr">
        <is>
          <t>JOB-1112</t>
        </is>
      </c>
      <c r="B176" s="6" t="inlineStr">
        <is>
          <t>Staff</t>
        </is>
      </c>
      <c r="C176" s="35" t="n">
        <v>0.3</v>
      </c>
      <c r="D176" s="35" t="n">
        <v>1.6667</v>
      </c>
      <c r="E176" s="35" t="n">
        <v>0.4</v>
      </c>
      <c r="F176" s="35" t="n">
        <v>0.85</v>
      </c>
      <c r="G176" s="35" t="n">
        <v>0</v>
      </c>
      <c r="H176" s="35">
        <f>IFERROR(IF('03_ALTERNATIF'!$J$19="Benefit",(C176-$C$227)/($C$226-$C$227),($C$226-C176)/($C$226-$C$227)),1)</f>
        <v/>
      </c>
      <c r="I176" s="35">
        <f>IFERROR(IF('03_ALTERNATIF'!$K$19="Benefit",(D176-$D$227)/($D$226-$D$227),($D$226-D176)/($D$226-$D$227)),1)</f>
        <v/>
      </c>
      <c r="J176" s="35">
        <f>IFERROR(IF('03_ALTERNATIF'!$L$19="Benefit",(E176-$E$227)/($E$226-$E$227),($E$226-E176)/($E$226-$E$227)),1)</f>
        <v/>
      </c>
      <c r="K176" s="35">
        <f>IFERROR(IF('03_ALTERNATIF'!$M$19="Benefit",(F176-$F$227)/($F$226-$F$227),($F$226-F176)/($F$226-$F$227)),1)</f>
        <v/>
      </c>
      <c r="L176" s="35">
        <f>IFERROR(IF('03_ALTERNATIF'!$N$19="Benefit",(G176-$G$227)/($G$226-$G$227),($G$226-G176)/($G$226-$G$227)),1)</f>
        <v/>
      </c>
      <c r="M176" s="40">
        <f>SUMPRODUCT($H176:$L176,$H$228:$L$228)</f>
        <v/>
      </c>
      <c r="N176" s="10">
        <f>RANK.EQ($M176,$M$4:$M$224,0)</f>
        <v/>
      </c>
    </row>
    <row r="177" ht="15" customHeight="1">
      <c r="A177" s="10" t="inlineStr">
        <is>
          <t>JOB-1199</t>
        </is>
      </c>
      <c r="B177" s="6" t="inlineStr">
        <is>
          <t>Video Content Creator</t>
        </is>
      </c>
      <c r="C177" s="35" t="n">
        <v>0.3</v>
      </c>
      <c r="D177" s="35" t="n">
        <v>1.1905</v>
      </c>
      <c r="E177" s="35" t="n">
        <v>1</v>
      </c>
      <c r="F177" s="35" t="n">
        <v>0.8</v>
      </c>
      <c r="G177" s="35" t="n">
        <v>0</v>
      </c>
      <c r="H177" s="35">
        <f>IFERROR(IF('03_ALTERNATIF'!$J$19="Benefit",(C177-$C$227)/($C$226-$C$227),($C$226-C177)/($C$226-$C$227)),1)</f>
        <v/>
      </c>
      <c r="I177" s="35">
        <f>IFERROR(IF('03_ALTERNATIF'!$K$19="Benefit",(D177-$D$227)/($D$226-$D$227),($D$226-D177)/($D$226-$D$227)),1)</f>
        <v/>
      </c>
      <c r="J177" s="35">
        <f>IFERROR(IF('03_ALTERNATIF'!$L$19="Benefit",(E177-$E$227)/($E$226-$E$227),($E$226-E177)/($E$226-$E$227)),1)</f>
        <v/>
      </c>
      <c r="K177" s="35">
        <f>IFERROR(IF('03_ALTERNATIF'!$M$19="Benefit",(F177-$F$227)/($F$226-$F$227),($F$226-F177)/($F$226-$F$227)),1)</f>
        <v/>
      </c>
      <c r="L177" s="35">
        <f>IFERROR(IF('03_ALTERNATIF'!$N$19="Benefit",(G177-$G$227)/($G$226-$G$227),($G$226-G177)/($G$226-$G$227)),1)</f>
        <v/>
      </c>
      <c r="M177" s="40">
        <f>SUMPRODUCT($H177:$L177,$H$228:$L$228)</f>
        <v/>
      </c>
      <c r="N177" s="10">
        <f>RANK.EQ($M177,$M$4:$M$224,0)</f>
        <v/>
      </c>
    </row>
    <row r="178" ht="15" customHeight="1">
      <c r="A178" s="10" t="inlineStr">
        <is>
          <t>JOB-1109</t>
        </is>
      </c>
      <c r="B178" s="6" t="inlineStr">
        <is>
          <t>Video Content Creator</t>
        </is>
      </c>
      <c r="C178" s="35" t="n">
        <v>0.3</v>
      </c>
      <c r="D178" s="35" t="n">
        <v>1.6667</v>
      </c>
      <c r="E178" s="35" t="n">
        <v>0.4</v>
      </c>
      <c r="F178" s="35" t="n">
        <v>0.8</v>
      </c>
      <c r="G178" s="35" t="n">
        <v>0</v>
      </c>
      <c r="H178" s="35">
        <f>IFERROR(IF('03_ALTERNATIF'!$J$19="Benefit",(C178-$C$227)/($C$226-$C$227),($C$226-C178)/($C$226-$C$227)),1)</f>
        <v/>
      </c>
      <c r="I178" s="35">
        <f>IFERROR(IF('03_ALTERNATIF'!$K$19="Benefit",(D178-$D$227)/($D$226-$D$227),($D$226-D178)/($D$226-$D$227)),1)</f>
        <v/>
      </c>
      <c r="J178" s="35">
        <f>IFERROR(IF('03_ALTERNATIF'!$L$19="Benefit",(E178-$E$227)/($E$226-$E$227),($E$226-E178)/($E$226-$E$227)),1)</f>
        <v/>
      </c>
      <c r="K178" s="35">
        <f>IFERROR(IF('03_ALTERNATIF'!$M$19="Benefit",(F178-$F$227)/($F$226-$F$227),($F$226-F178)/($F$226-$F$227)),1)</f>
        <v/>
      </c>
      <c r="L178" s="35">
        <f>IFERROR(IF('03_ALTERNATIF'!$N$19="Benefit",(G178-$G$227)/($G$226-$G$227),($G$226-G178)/($G$226-$G$227)),1)</f>
        <v/>
      </c>
      <c r="M178" s="40">
        <f>SUMPRODUCT($H178:$L178,$H$228:$L$228)</f>
        <v/>
      </c>
      <c r="N178" s="10">
        <f>RANK.EQ($M178,$M$4:$M$224,0)</f>
        <v/>
      </c>
    </row>
    <row r="179" ht="15" customHeight="1">
      <c r="A179" s="10" t="inlineStr">
        <is>
          <t>JOB-1331</t>
        </is>
      </c>
      <c r="B179" s="6" t="inlineStr">
        <is>
          <t>Terapis</t>
        </is>
      </c>
      <c r="C179" s="35" t="n">
        <v>0.3</v>
      </c>
      <c r="D179" s="35" t="n">
        <v>1.2857</v>
      </c>
      <c r="E179" s="35" t="n">
        <v>0.8</v>
      </c>
      <c r="F179" s="35" t="n">
        <v>0.85</v>
      </c>
      <c r="G179" s="35" t="n">
        <v>0</v>
      </c>
      <c r="H179" s="35">
        <f>IFERROR(IF('03_ALTERNATIF'!$J$19="Benefit",(C179-$C$227)/($C$226-$C$227),($C$226-C179)/($C$226-$C$227)),1)</f>
        <v/>
      </c>
      <c r="I179" s="35">
        <f>IFERROR(IF('03_ALTERNATIF'!$K$19="Benefit",(D179-$D$227)/($D$226-$D$227),($D$226-D179)/($D$226-$D$227)),1)</f>
        <v/>
      </c>
      <c r="J179" s="35">
        <f>IFERROR(IF('03_ALTERNATIF'!$L$19="Benefit",(E179-$E$227)/($E$226-$E$227),($E$226-E179)/($E$226-$E$227)),1)</f>
        <v/>
      </c>
      <c r="K179" s="35">
        <f>IFERROR(IF('03_ALTERNATIF'!$M$19="Benefit",(F179-$F$227)/($F$226-$F$227),($F$226-F179)/($F$226-$F$227)),1)</f>
        <v/>
      </c>
      <c r="L179" s="35">
        <f>IFERROR(IF('03_ALTERNATIF'!$N$19="Benefit",(G179-$G$227)/($G$226-$G$227),($G$226-G179)/($G$226-$G$227)),1)</f>
        <v/>
      </c>
      <c r="M179" s="40">
        <f>SUMPRODUCT($H179:$L179,$H$228:$L$228)</f>
        <v/>
      </c>
      <c r="N179" s="10">
        <f>RANK.EQ($M179,$M$4:$M$224,0)</f>
        <v/>
      </c>
    </row>
    <row r="180" ht="15" customHeight="1">
      <c r="A180" s="10" t="inlineStr">
        <is>
          <t>JOB-1144</t>
        </is>
      </c>
      <c r="B180" s="6" t="inlineStr">
        <is>
          <t>Customer Service Part-Time</t>
        </is>
      </c>
      <c r="C180" s="35" t="n">
        <v>0.3</v>
      </c>
      <c r="D180" s="35" t="n">
        <v>1.3333</v>
      </c>
      <c r="E180" s="35" t="n">
        <v>1</v>
      </c>
      <c r="F180" s="35" t="n">
        <v>0.55</v>
      </c>
      <c r="G180" s="35" t="n">
        <v>0</v>
      </c>
      <c r="H180" s="35">
        <f>IFERROR(IF('03_ALTERNATIF'!$J$19="Benefit",(C180-$C$227)/($C$226-$C$227),($C$226-C180)/($C$226-$C$227)),1)</f>
        <v/>
      </c>
      <c r="I180" s="35">
        <f>IFERROR(IF('03_ALTERNATIF'!$K$19="Benefit",(D180-$D$227)/($D$226-$D$227),($D$226-D180)/($D$226-$D$227)),1)</f>
        <v/>
      </c>
      <c r="J180" s="35">
        <f>IFERROR(IF('03_ALTERNATIF'!$L$19="Benefit",(E180-$E$227)/($E$226-$E$227),($E$226-E180)/($E$226-$E$227)),1)</f>
        <v/>
      </c>
      <c r="K180" s="35">
        <f>IFERROR(IF('03_ALTERNATIF'!$M$19="Benefit",(F180-$F$227)/($F$226-$F$227),($F$226-F180)/($F$226-$F$227)),1)</f>
        <v/>
      </c>
      <c r="L180" s="35">
        <f>IFERROR(IF('03_ALTERNATIF'!$N$19="Benefit",(G180-$G$227)/($G$226-$G$227),($G$226-G180)/($G$226-$G$227)),1)</f>
        <v/>
      </c>
      <c r="M180" s="40">
        <f>SUMPRODUCT($H180:$L180,$H$228:$L$228)</f>
        <v/>
      </c>
      <c r="N180" s="10">
        <f>RANK.EQ($M180,$M$4:$M$224,0)</f>
        <v/>
      </c>
    </row>
    <row r="181" ht="15" customHeight="1">
      <c r="A181" s="10" t="inlineStr">
        <is>
          <t>JOB-1151</t>
        </is>
      </c>
      <c r="B181" s="6" t="inlineStr">
        <is>
          <t>kitchen</t>
        </is>
      </c>
      <c r="C181" s="35" t="n">
        <v>0.3</v>
      </c>
      <c r="D181" s="35" t="n">
        <v>1.8095</v>
      </c>
      <c r="E181" s="35" t="n">
        <v>0.4</v>
      </c>
      <c r="F181" s="35" t="n">
        <v>0.55</v>
      </c>
      <c r="G181" s="35" t="n">
        <v>0.0663</v>
      </c>
      <c r="H181" s="35">
        <f>IFERROR(IF('03_ALTERNATIF'!$J$19="Benefit",(C181-$C$227)/($C$226-$C$227),($C$226-C181)/($C$226-$C$227)),1)</f>
        <v/>
      </c>
      <c r="I181" s="35">
        <f>IFERROR(IF('03_ALTERNATIF'!$K$19="Benefit",(D181-$D$227)/($D$226-$D$227),($D$226-D181)/($D$226-$D$227)),1)</f>
        <v/>
      </c>
      <c r="J181" s="35">
        <f>IFERROR(IF('03_ALTERNATIF'!$L$19="Benefit",(E181-$E$227)/($E$226-$E$227),($E$226-E181)/($E$226-$E$227)),1)</f>
        <v/>
      </c>
      <c r="K181" s="35">
        <f>IFERROR(IF('03_ALTERNATIF'!$M$19="Benefit",(F181-$F$227)/($F$226-$F$227),($F$226-F181)/($F$226-$F$227)),1)</f>
        <v/>
      </c>
      <c r="L181" s="35">
        <f>IFERROR(IF('03_ALTERNATIF'!$N$19="Benefit",(G181-$G$227)/($G$226-$G$227),($G$226-G181)/($G$226-$G$227)),1)</f>
        <v/>
      </c>
      <c r="M181" s="40">
        <f>SUMPRODUCT($H181:$L181,$H$228:$L$228)</f>
        <v/>
      </c>
      <c r="N181" s="10">
        <f>RANK.EQ($M181,$M$4:$M$224,0)</f>
        <v/>
      </c>
    </row>
    <row r="182" ht="15" customHeight="1">
      <c r="A182" s="10" t="inlineStr">
        <is>
          <t>JOB-1263</t>
        </is>
      </c>
      <c r="B182" s="6" t="inlineStr">
        <is>
          <t>Terapis Wicara (TW)</t>
        </is>
      </c>
      <c r="C182" s="35" t="n">
        <v>0.3</v>
      </c>
      <c r="D182" s="35" t="n">
        <v>1.6667</v>
      </c>
      <c r="E182" s="35" t="n">
        <v>0.4</v>
      </c>
      <c r="F182" s="35" t="n">
        <v>0.75</v>
      </c>
      <c r="G182" s="35" t="n">
        <v>0.0569</v>
      </c>
      <c r="H182" s="35">
        <f>IFERROR(IF('03_ALTERNATIF'!$J$19="Benefit",(C182-$C$227)/($C$226-$C$227),($C$226-C182)/($C$226-$C$227)),1)</f>
        <v/>
      </c>
      <c r="I182" s="35">
        <f>IFERROR(IF('03_ALTERNATIF'!$K$19="Benefit",(D182-$D$227)/($D$226-$D$227),($D$226-D182)/($D$226-$D$227)),1)</f>
        <v/>
      </c>
      <c r="J182" s="35">
        <f>IFERROR(IF('03_ALTERNATIF'!$L$19="Benefit",(E182-$E$227)/($E$226-$E$227),($E$226-E182)/($E$226-$E$227)),1)</f>
        <v/>
      </c>
      <c r="K182" s="35">
        <f>IFERROR(IF('03_ALTERNATIF'!$M$19="Benefit",(F182-$F$227)/($F$226-$F$227),($F$226-F182)/($F$226-$F$227)),1)</f>
        <v/>
      </c>
      <c r="L182" s="35">
        <f>IFERROR(IF('03_ALTERNATIF'!$N$19="Benefit",(G182-$G$227)/($G$226-$G$227),($G$226-G182)/($G$226-$G$227)),1)</f>
        <v/>
      </c>
      <c r="M182" s="40">
        <f>SUMPRODUCT($H182:$L182,$H$228:$L$228)</f>
        <v/>
      </c>
      <c r="N182" s="10">
        <f>RANK.EQ($M182,$M$4:$M$224,0)</f>
        <v/>
      </c>
    </row>
    <row r="183" ht="15" customHeight="1">
      <c r="A183" s="10" t="inlineStr">
        <is>
          <t>JOB-1221</t>
        </is>
      </c>
      <c r="B183" s="6" t="inlineStr">
        <is>
          <t>Host Live Wanita CANTIK Work From Studio Bekasi Parttime</t>
        </is>
      </c>
      <c r="C183" s="35" t="n">
        <v>0.3</v>
      </c>
      <c r="D183" s="35" t="n">
        <v>1.6667</v>
      </c>
      <c r="E183" s="35" t="n">
        <v>0.4</v>
      </c>
      <c r="F183" s="35" t="n">
        <v>0.75</v>
      </c>
      <c r="G183" s="35" t="n">
        <v>0.0457</v>
      </c>
      <c r="H183" s="35">
        <f>IFERROR(IF('03_ALTERNATIF'!$J$19="Benefit",(C183-$C$227)/($C$226-$C$227),($C$226-C183)/($C$226-$C$227)),1)</f>
        <v/>
      </c>
      <c r="I183" s="35">
        <f>IFERROR(IF('03_ALTERNATIF'!$K$19="Benefit",(D183-$D$227)/($D$226-$D$227),($D$226-D183)/($D$226-$D$227)),1)</f>
        <v/>
      </c>
      <c r="J183" s="35">
        <f>IFERROR(IF('03_ALTERNATIF'!$L$19="Benefit",(E183-$E$227)/($E$226-$E$227),($E$226-E183)/($E$226-$E$227)),1)</f>
        <v/>
      </c>
      <c r="K183" s="35">
        <f>IFERROR(IF('03_ALTERNATIF'!$M$19="Benefit",(F183-$F$227)/($F$226-$F$227),($F$226-F183)/($F$226-$F$227)),1)</f>
        <v/>
      </c>
      <c r="L183" s="35">
        <f>IFERROR(IF('03_ALTERNATIF'!$N$19="Benefit",(G183-$G$227)/($G$226-$G$227),($G$226-G183)/($G$226-$G$227)),1)</f>
        <v/>
      </c>
      <c r="M183" s="40">
        <f>SUMPRODUCT($H183:$L183,$H$228:$L$228)</f>
        <v/>
      </c>
      <c r="N183" s="10">
        <f>RANK.EQ($M183,$M$4:$M$224,0)</f>
        <v/>
      </c>
    </row>
    <row r="184" ht="15" customHeight="1">
      <c r="A184" s="10" t="inlineStr">
        <is>
          <t>JOB-1050</t>
        </is>
      </c>
      <c r="B184" s="6" t="inlineStr">
        <is>
          <t>Helper Instalasi</t>
        </is>
      </c>
      <c r="C184" s="35" t="n">
        <v>0.3</v>
      </c>
      <c r="D184" s="35" t="n">
        <v>1.8095</v>
      </c>
      <c r="E184" s="35" t="n">
        <v>0.4</v>
      </c>
      <c r="F184" s="35" t="n">
        <v>0.55</v>
      </c>
      <c r="G184" s="35" t="n">
        <v>0</v>
      </c>
      <c r="H184" s="35">
        <f>IFERROR(IF('03_ALTERNATIF'!$J$19="Benefit",(C184-$C$227)/($C$226-$C$227),($C$226-C184)/($C$226-$C$227)),1)</f>
        <v/>
      </c>
      <c r="I184" s="35">
        <f>IFERROR(IF('03_ALTERNATIF'!$K$19="Benefit",(D184-$D$227)/($D$226-$D$227),($D$226-D184)/($D$226-$D$227)),1)</f>
        <v/>
      </c>
      <c r="J184" s="35">
        <f>IFERROR(IF('03_ALTERNATIF'!$L$19="Benefit",(E184-$E$227)/($E$226-$E$227),($E$226-E184)/($E$226-$E$227)),1)</f>
        <v/>
      </c>
      <c r="K184" s="35">
        <f>IFERROR(IF('03_ALTERNATIF'!$M$19="Benefit",(F184-$F$227)/($F$226-$F$227),($F$226-F184)/($F$226-$F$227)),1)</f>
        <v/>
      </c>
      <c r="L184" s="35">
        <f>IFERROR(IF('03_ALTERNATIF'!$N$19="Benefit",(G184-$G$227)/($G$226-$G$227),($G$226-G184)/($G$226-$G$227)),1)</f>
        <v/>
      </c>
      <c r="M184" s="40">
        <f>SUMPRODUCT($H184:$L184,$H$228:$L$228)</f>
        <v/>
      </c>
      <c r="N184" s="10">
        <f>RANK.EQ($M184,$M$4:$M$224,0)</f>
        <v/>
      </c>
    </row>
    <row r="185" ht="15" customHeight="1">
      <c r="A185" s="10" t="inlineStr">
        <is>
          <t>JOB-1046</t>
        </is>
      </c>
      <c r="B185" s="6" t="inlineStr">
        <is>
          <t>Personal Assistant</t>
        </is>
      </c>
      <c r="C185" s="35" t="n">
        <v>0.3</v>
      </c>
      <c r="D185" s="35" t="n">
        <v>1.6667</v>
      </c>
      <c r="E185" s="35" t="n">
        <v>0.4</v>
      </c>
      <c r="F185" s="35" t="n">
        <v>0.75</v>
      </c>
      <c r="G185" s="35" t="n">
        <v>0</v>
      </c>
      <c r="H185" s="35">
        <f>IFERROR(IF('03_ALTERNATIF'!$J$19="Benefit",(C185-$C$227)/($C$226-$C$227),($C$226-C185)/($C$226-$C$227)),1)</f>
        <v/>
      </c>
      <c r="I185" s="35">
        <f>IFERROR(IF('03_ALTERNATIF'!$K$19="Benefit",(D185-$D$227)/($D$226-$D$227),($D$226-D185)/($D$226-$D$227)),1)</f>
        <v/>
      </c>
      <c r="J185" s="35">
        <f>IFERROR(IF('03_ALTERNATIF'!$L$19="Benefit",(E185-$E$227)/($E$226-$E$227),($E$226-E185)/($E$226-$E$227)),1)</f>
        <v/>
      </c>
      <c r="K185" s="35">
        <f>IFERROR(IF('03_ALTERNATIF'!$M$19="Benefit",(F185-$F$227)/($F$226-$F$227),($F$226-F185)/($F$226-$F$227)),1)</f>
        <v/>
      </c>
      <c r="L185" s="35">
        <f>IFERROR(IF('03_ALTERNATIF'!$N$19="Benefit",(G185-$G$227)/($G$226-$G$227),($G$226-G185)/($G$226-$G$227)),1)</f>
        <v/>
      </c>
      <c r="M185" s="40">
        <f>SUMPRODUCT($H185:$L185,$H$228:$L$228)</f>
        <v/>
      </c>
      <c r="N185" s="10">
        <f>RANK.EQ($M185,$M$4:$M$224,0)</f>
        <v/>
      </c>
    </row>
    <row r="186" ht="15" customHeight="1">
      <c r="A186" s="10" t="inlineStr">
        <is>
          <t>JOB-1008</t>
        </is>
      </c>
      <c r="B186" s="6" t="inlineStr">
        <is>
          <t>Trainer Desain Grafis</t>
        </is>
      </c>
      <c r="C186" s="35" t="n">
        <v>0.3</v>
      </c>
      <c r="D186" s="35" t="n">
        <v>1.1905</v>
      </c>
      <c r="E186" s="35" t="n">
        <v>0.8</v>
      </c>
      <c r="F186" s="35" t="n">
        <v>0.95</v>
      </c>
      <c r="G186" s="35" t="n">
        <v>0</v>
      </c>
      <c r="H186" s="35">
        <f>IFERROR(IF('03_ALTERNATIF'!$J$19="Benefit",(C186-$C$227)/($C$226-$C$227),($C$226-C186)/($C$226-$C$227)),1)</f>
        <v/>
      </c>
      <c r="I186" s="35">
        <f>IFERROR(IF('03_ALTERNATIF'!$K$19="Benefit",(D186-$D$227)/($D$226-$D$227),($D$226-D186)/($D$226-$D$227)),1)</f>
        <v/>
      </c>
      <c r="J186" s="35">
        <f>IFERROR(IF('03_ALTERNATIF'!$L$19="Benefit",(E186-$E$227)/($E$226-$E$227),($E$226-E186)/($E$226-$E$227)),1)</f>
        <v/>
      </c>
      <c r="K186" s="35">
        <f>IFERROR(IF('03_ALTERNATIF'!$M$19="Benefit",(F186-$F$227)/($F$226-$F$227),($F$226-F186)/($F$226-$F$227)),1)</f>
        <v/>
      </c>
      <c r="L186" s="35">
        <f>IFERROR(IF('03_ALTERNATIF'!$N$19="Benefit",(G186-$G$227)/($G$226-$G$227),($G$226-G186)/($G$226-$G$227)),1)</f>
        <v/>
      </c>
      <c r="M186" s="40">
        <f>SUMPRODUCT($H186:$L186,$H$228:$L$228)</f>
        <v/>
      </c>
      <c r="N186" s="10">
        <f>RANK.EQ($M186,$M$4:$M$224,0)</f>
        <v/>
      </c>
    </row>
    <row r="187" ht="15" customHeight="1">
      <c r="A187" s="10" t="inlineStr">
        <is>
          <t>JOB-1054</t>
        </is>
      </c>
      <c r="B187" s="6" t="inlineStr">
        <is>
          <t>Customer Relations Admin - Cab Sumbawa</t>
        </is>
      </c>
      <c r="C187" s="35" t="n">
        <v>0.3</v>
      </c>
      <c r="D187" s="35" t="n">
        <v>1.1905</v>
      </c>
      <c r="E187" s="35" t="n">
        <v>0.8</v>
      </c>
      <c r="F187" s="35" t="n">
        <v>0.95</v>
      </c>
      <c r="G187" s="35" t="n">
        <v>0</v>
      </c>
      <c r="H187" s="35">
        <f>IFERROR(IF('03_ALTERNATIF'!$J$19="Benefit",(C187-$C$227)/($C$226-$C$227),($C$226-C187)/($C$226-$C$227)),1)</f>
        <v/>
      </c>
      <c r="I187" s="35">
        <f>IFERROR(IF('03_ALTERNATIF'!$K$19="Benefit",(D187-$D$227)/($D$226-$D$227),($D$226-D187)/($D$226-$D$227)),1)</f>
        <v/>
      </c>
      <c r="J187" s="35">
        <f>IFERROR(IF('03_ALTERNATIF'!$L$19="Benefit",(E187-$E$227)/($E$226-$E$227),($E$226-E187)/($E$226-$E$227)),1)</f>
        <v/>
      </c>
      <c r="K187" s="35">
        <f>IFERROR(IF('03_ALTERNATIF'!$M$19="Benefit",(F187-$F$227)/($F$226-$F$227),($F$226-F187)/($F$226-$F$227)),1)</f>
        <v/>
      </c>
      <c r="L187" s="35">
        <f>IFERROR(IF('03_ALTERNATIF'!$N$19="Benefit",(G187-$G$227)/($G$226-$G$227),($G$226-G187)/($G$226-$G$227)),1)</f>
        <v/>
      </c>
      <c r="M187" s="40">
        <f>SUMPRODUCT($H187:$L187,$H$228:$L$228)</f>
        <v/>
      </c>
      <c r="N187" s="10">
        <f>RANK.EQ($M187,$M$4:$M$224,0)</f>
        <v/>
      </c>
    </row>
    <row r="188" ht="15" customHeight="1">
      <c r="A188" s="10" t="inlineStr">
        <is>
          <t>JOB-1150</t>
        </is>
      </c>
      <c r="B188" s="6" t="inlineStr">
        <is>
          <t>Kurir Last-Mile</t>
        </is>
      </c>
      <c r="C188" s="35" t="n">
        <v>0.3</v>
      </c>
      <c r="D188" s="35" t="n">
        <v>1.1905</v>
      </c>
      <c r="E188" s="35" t="n">
        <v>0.8</v>
      </c>
      <c r="F188" s="35" t="n">
        <v>0.95</v>
      </c>
      <c r="G188" s="35" t="n">
        <v>0</v>
      </c>
      <c r="H188" s="35">
        <f>IFERROR(IF('03_ALTERNATIF'!$J$19="Benefit",(C188-$C$227)/($C$226-$C$227),($C$226-C188)/($C$226-$C$227)),1)</f>
        <v/>
      </c>
      <c r="I188" s="35">
        <f>IFERROR(IF('03_ALTERNATIF'!$K$19="Benefit",(D188-$D$227)/($D$226-$D$227),($D$226-D188)/($D$226-$D$227)),1)</f>
        <v/>
      </c>
      <c r="J188" s="35">
        <f>IFERROR(IF('03_ALTERNATIF'!$L$19="Benefit",(E188-$E$227)/($E$226-$E$227),($E$226-E188)/($E$226-$E$227)),1)</f>
        <v/>
      </c>
      <c r="K188" s="35">
        <f>IFERROR(IF('03_ALTERNATIF'!$M$19="Benefit",(F188-$F$227)/($F$226-$F$227),($F$226-F188)/($F$226-$F$227)),1)</f>
        <v/>
      </c>
      <c r="L188" s="35">
        <f>IFERROR(IF('03_ALTERNATIF'!$N$19="Benefit",(G188-$G$227)/($G$226-$G$227),($G$226-G188)/($G$226-$G$227)),1)</f>
        <v/>
      </c>
      <c r="M188" s="40">
        <f>SUMPRODUCT($H188:$L188,$H$228:$L$228)</f>
        <v/>
      </c>
      <c r="N188" s="10">
        <f>RANK.EQ($M188,$M$4:$M$224,0)</f>
        <v/>
      </c>
    </row>
    <row r="189" ht="15" customHeight="1">
      <c r="A189" s="10" t="inlineStr">
        <is>
          <t>JOB-1352</t>
        </is>
      </c>
      <c r="B189" s="6" t="inlineStr">
        <is>
          <t>Rider Motor Listrik</t>
        </is>
      </c>
      <c r="C189" s="35" t="n">
        <v>0.3</v>
      </c>
      <c r="D189" s="35" t="n">
        <v>1.2857</v>
      </c>
      <c r="E189" s="35" t="n">
        <v>0.8</v>
      </c>
      <c r="F189" s="35" t="n">
        <v>0.75</v>
      </c>
      <c r="G189" s="35" t="n">
        <v>0.06850000000000001</v>
      </c>
      <c r="H189" s="35">
        <f>IFERROR(IF('03_ALTERNATIF'!$J$19="Benefit",(C189-$C$227)/($C$226-$C$227),($C$226-C189)/($C$226-$C$227)),1)</f>
        <v/>
      </c>
      <c r="I189" s="35">
        <f>IFERROR(IF('03_ALTERNATIF'!$K$19="Benefit",(D189-$D$227)/($D$226-$D$227),($D$226-D189)/($D$226-$D$227)),1)</f>
        <v/>
      </c>
      <c r="J189" s="35">
        <f>IFERROR(IF('03_ALTERNATIF'!$L$19="Benefit",(E189-$E$227)/($E$226-$E$227),($E$226-E189)/($E$226-$E$227)),1)</f>
        <v/>
      </c>
      <c r="K189" s="35">
        <f>IFERROR(IF('03_ALTERNATIF'!$M$19="Benefit",(F189-$F$227)/($F$226-$F$227),($F$226-F189)/($F$226-$F$227)),1)</f>
        <v/>
      </c>
      <c r="L189" s="35">
        <f>IFERROR(IF('03_ALTERNATIF'!$N$19="Benefit",(G189-$G$227)/($G$226-$G$227),($G$226-G189)/($G$226-$G$227)),1)</f>
        <v/>
      </c>
      <c r="M189" s="40">
        <f>SUMPRODUCT($H189:$L189,$H$228:$L$228)</f>
        <v/>
      </c>
      <c r="N189" s="10">
        <f>RANK.EQ($M189,$M$4:$M$224,0)</f>
        <v/>
      </c>
    </row>
    <row r="190" ht="15" customHeight="1">
      <c r="A190" s="10" t="inlineStr">
        <is>
          <t>JOB-1310</t>
        </is>
      </c>
      <c r="B190" s="6" t="inlineStr">
        <is>
          <t>Marketing Staff</t>
        </is>
      </c>
      <c r="C190" s="35" t="n">
        <v>0.3</v>
      </c>
      <c r="D190" s="35" t="n">
        <v>1.5476</v>
      </c>
      <c r="E190" s="35" t="n">
        <v>0.4</v>
      </c>
      <c r="F190" s="35" t="n">
        <v>0.85</v>
      </c>
      <c r="G190" s="35" t="n">
        <v>0.0444</v>
      </c>
      <c r="H190" s="35">
        <f>IFERROR(IF('03_ALTERNATIF'!$J$19="Benefit",(C190-$C$227)/($C$226-$C$227),($C$226-C190)/($C$226-$C$227)),1)</f>
        <v/>
      </c>
      <c r="I190" s="35">
        <f>IFERROR(IF('03_ALTERNATIF'!$K$19="Benefit",(D190-$D$227)/($D$226-$D$227),($D$226-D190)/($D$226-$D$227)),1)</f>
        <v/>
      </c>
      <c r="J190" s="35">
        <f>IFERROR(IF('03_ALTERNATIF'!$L$19="Benefit",(E190-$E$227)/($E$226-$E$227),($E$226-E190)/($E$226-$E$227)),1)</f>
        <v/>
      </c>
      <c r="K190" s="35">
        <f>IFERROR(IF('03_ALTERNATIF'!$M$19="Benefit",(F190-$F$227)/($F$226-$F$227),($F$226-F190)/($F$226-$F$227)),1)</f>
        <v/>
      </c>
      <c r="L190" s="35">
        <f>IFERROR(IF('03_ALTERNATIF'!$N$19="Benefit",(G190-$G$227)/($G$226-$G$227),($G$226-G190)/($G$226-$G$227)),1)</f>
        <v/>
      </c>
      <c r="M190" s="40">
        <f>SUMPRODUCT($H190:$L190,$H$228:$L$228)</f>
        <v/>
      </c>
      <c r="N190" s="10">
        <f>RANK.EQ($M190,$M$4:$M$224,0)</f>
        <v/>
      </c>
    </row>
    <row r="191" ht="15" customHeight="1">
      <c r="A191" s="10" t="inlineStr">
        <is>
          <t>JOB-1033</t>
        </is>
      </c>
      <c r="B191" s="6" t="inlineStr">
        <is>
          <t>PART TIME-KITCHEN</t>
        </is>
      </c>
      <c r="C191" s="35" t="n">
        <v>0.3</v>
      </c>
      <c r="D191" s="35" t="n">
        <v>1.6667</v>
      </c>
      <c r="E191" s="35" t="n">
        <v>0.4</v>
      </c>
      <c r="F191" s="35" t="n">
        <v>0.65</v>
      </c>
      <c r="G191" s="35" t="n">
        <v>0.0509</v>
      </c>
      <c r="H191" s="35">
        <f>IFERROR(IF('03_ALTERNATIF'!$J$19="Benefit",(C191-$C$227)/($C$226-$C$227),($C$226-C191)/($C$226-$C$227)),1)</f>
        <v/>
      </c>
      <c r="I191" s="35">
        <f>IFERROR(IF('03_ALTERNATIF'!$K$19="Benefit",(D191-$D$227)/($D$226-$D$227),($D$226-D191)/($D$226-$D$227)),1)</f>
        <v/>
      </c>
      <c r="J191" s="35">
        <f>IFERROR(IF('03_ALTERNATIF'!$L$19="Benefit",(E191-$E$227)/($E$226-$E$227),($E$226-E191)/($E$226-$E$227)),1)</f>
        <v/>
      </c>
      <c r="K191" s="35">
        <f>IFERROR(IF('03_ALTERNATIF'!$M$19="Benefit",(F191-$F$227)/($F$226-$F$227),($F$226-F191)/($F$226-$F$227)),1)</f>
        <v/>
      </c>
      <c r="L191" s="35">
        <f>IFERROR(IF('03_ALTERNATIF'!$N$19="Benefit",(G191-$G$227)/($G$226-$G$227),($G$226-G191)/($G$226-$G$227)),1)</f>
        <v/>
      </c>
      <c r="M191" s="40">
        <f>SUMPRODUCT($H191:$L191,$H$228:$L$228)</f>
        <v/>
      </c>
      <c r="N191" s="10">
        <f>RANK.EQ($M191,$M$4:$M$224,0)</f>
        <v/>
      </c>
    </row>
    <row r="192" ht="15" customHeight="1">
      <c r="A192" s="10" t="inlineStr">
        <is>
          <t>JOB-1079</t>
        </is>
      </c>
      <c r="B192" s="6" t="inlineStr">
        <is>
          <t>Barista</t>
        </is>
      </c>
      <c r="C192" s="35" t="n">
        <v>0.3</v>
      </c>
      <c r="D192" s="35" t="n">
        <v>1.6667</v>
      </c>
      <c r="E192" s="35" t="n">
        <v>0.4</v>
      </c>
      <c r="F192" s="35" t="n">
        <v>0.65</v>
      </c>
      <c r="G192" s="35" t="n">
        <v>0</v>
      </c>
      <c r="H192" s="35">
        <f>IFERROR(IF('03_ALTERNATIF'!$J$19="Benefit",(C192-$C$227)/($C$226-$C$227),($C$226-C192)/($C$226-$C$227)),1)</f>
        <v/>
      </c>
      <c r="I192" s="35">
        <f>IFERROR(IF('03_ALTERNATIF'!$K$19="Benefit",(D192-$D$227)/($D$226-$D$227),($D$226-D192)/($D$226-$D$227)),1)</f>
        <v/>
      </c>
      <c r="J192" s="35">
        <f>IFERROR(IF('03_ALTERNATIF'!$L$19="Benefit",(E192-$E$227)/($E$226-$E$227),($E$226-E192)/($E$226-$E$227)),1)</f>
        <v/>
      </c>
      <c r="K192" s="35">
        <f>IFERROR(IF('03_ALTERNATIF'!$M$19="Benefit",(F192-$F$227)/($F$226-$F$227),($F$226-F192)/($F$226-$F$227)),1)</f>
        <v/>
      </c>
      <c r="L192" s="35">
        <f>IFERROR(IF('03_ALTERNATIF'!$N$19="Benefit",(G192-$G$227)/($G$226-$G$227),($G$226-G192)/($G$226-$G$227)),1)</f>
        <v/>
      </c>
      <c r="M192" s="40">
        <f>SUMPRODUCT($H192:$L192,$H$228:$L$228)</f>
        <v/>
      </c>
      <c r="N192" s="10">
        <f>RANK.EQ($M192,$M$4:$M$224,0)</f>
        <v/>
      </c>
    </row>
    <row r="193" ht="15" customHeight="1">
      <c r="A193" s="10" t="inlineStr">
        <is>
          <t>JOB-1041</t>
        </is>
      </c>
      <c r="B193" s="6" t="inlineStr">
        <is>
          <t>Admin Operasional (Part-Time)</t>
        </is>
      </c>
      <c r="C193" s="35" t="n">
        <v>0.3</v>
      </c>
      <c r="D193" s="35" t="n">
        <v>1.1905</v>
      </c>
      <c r="E193" s="35" t="n">
        <v>0.8</v>
      </c>
      <c r="F193" s="35" t="n">
        <v>0.85</v>
      </c>
      <c r="G193" s="35" t="n">
        <v>0</v>
      </c>
      <c r="H193" s="35">
        <f>IFERROR(IF('03_ALTERNATIF'!$J$19="Benefit",(C193-$C$227)/($C$226-$C$227),($C$226-C193)/($C$226-$C$227)),1)</f>
        <v/>
      </c>
      <c r="I193" s="35">
        <f>IFERROR(IF('03_ALTERNATIF'!$K$19="Benefit",(D193-$D$227)/($D$226-$D$227),($D$226-D193)/($D$226-$D$227)),1)</f>
        <v/>
      </c>
      <c r="J193" s="35">
        <f>IFERROR(IF('03_ALTERNATIF'!$L$19="Benefit",(E193-$E$227)/($E$226-$E$227),($E$226-E193)/($E$226-$E$227)),1)</f>
        <v/>
      </c>
      <c r="K193" s="35">
        <f>IFERROR(IF('03_ALTERNATIF'!$M$19="Benefit",(F193-$F$227)/($F$226-$F$227),($F$226-F193)/($F$226-$F$227)),1)</f>
        <v/>
      </c>
      <c r="L193" s="35">
        <f>IFERROR(IF('03_ALTERNATIF'!$N$19="Benefit",(G193-$G$227)/($G$226-$G$227),($G$226-G193)/($G$226-$G$227)),1)</f>
        <v/>
      </c>
      <c r="M193" s="40">
        <f>SUMPRODUCT($H193:$L193,$H$228:$L$228)</f>
        <v/>
      </c>
      <c r="N193" s="10">
        <f>RANK.EQ($M193,$M$4:$M$224,0)</f>
        <v/>
      </c>
    </row>
    <row r="194" ht="15" customHeight="1">
      <c r="A194" s="10" t="inlineStr">
        <is>
          <t>JOB-1291</t>
        </is>
      </c>
      <c r="B194" s="6" t="inlineStr">
        <is>
          <t>Daily On-Call Crew</t>
        </is>
      </c>
      <c r="C194" s="35" t="n">
        <v>0.3</v>
      </c>
      <c r="D194" s="35" t="n">
        <v>1.1905</v>
      </c>
      <c r="E194" s="35" t="n">
        <v>0.8</v>
      </c>
      <c r="F194" s="35" t="n">
        <v>0.85</v>
      </c>
      <c r="G194" s="35" t="n">
        <v>0</v>
      </c>
      <c r="H194" s="35">
        <f>IFERROR(IF('03_ALTERNATIF'!$J$19="Benefit",(C194-$C$227)/($C$226-$C$227),($C$226-C194)/($C$226-$C$227)),1)</f>
        <v/>
      </c>
      <c r="I194" s="35">
        <f>IFERROR(IF('03_ALTERNATIF'!$K$19="Benefit",(D194-$D$227)/($D$226-$D$227),($D$226-D194)/($D$226-$D$227)),1)</f>
        <v/>
      </c>
      <c r="J194" s="35">
        <f>IFERROR(IF('03_ALTERNATIF'!$L$19="Benefit",(E194-$E$227)/($E$226-$E$227),($E$226-E194)/($E$226-$E$227)),1)</f>
        <v/>
      </c>
      <c r="K194" s="35">
        <f>IFERROR(IF('03_ALTERNATIF'!$M$19="Benefit",(F194-$F$227)/($F$226-$F$227),($F$226-F194)/($F$226-$F$227)),1)</f>
        <v/>
      </c>
      <c r="L194" s="35">
        <f>IFERROR(IF('03_ALTERNATIF'!$N$19="Benefit",(G194-$G$227)/($G$226-$G$227),($G$226-G194)/($G$226-$G$227)),1)</f>
        <v/>
      </c>
      <c r="M194" s="40">
        <f>SUMPRODUCT($H194:$L194,$H$228:$L$228)</f>
        <v/>
      </c>
      <c r="N194" s="10">
        <f>RANK.EQ($M194,$M$4:$M$224,0)</f>
        <v/>
      </c>
    </row>
    <row r="195" ht="15" customHeight="1">
      <c r="A195" s="10" t="inlineStr">
        <is>
          <t>JOB-1333</t>
        </is>
      </c>
      <c r="B195" s="6" t="inlineStr">
        <is>
          <t>Fisioterapis</t>
        </is>
      </c>
      <c r="C195" s="35" t="n">
        <v>0.3</v>
      </c>
      <c r="D195" s="35" t="n">
        <v>1.1905</v>
      </c>
      <c r="E195" s="35" t="n">
        <v>0.8</v>
      </c>
      <c r="F195" s="35" t="n">
        <v>0.85</v>
      </c>
      <c r="G195" s="35" t="n">
        <v>0</v>
      </c>
      <c r="H195" s="35">
        <f>IFERROR(IF('03_ALTERNATIF'!$J$19="Benefit",(C195-$C$227)/($C$226-$C$227),($C$226-C195)/($C$226-$C$227)),1)</f>
        <v/>
      </c>
      <c r="I195" s="35">
        <f>IFERROR(IF('03_ALTERNATIF'!$K$19="Benefit",(D195-$D$227)/($D$226-$D$227),($D$226-D195)/($D$226-$D$227)),1)</f>
        <v/>
      </c>
      <c r="J195" s="35">
        <f>IFERROR(IF('03_ALTERNATIF'!$L$19="Benefit",(E195-$E$227)/($E$226-$E$227),($E$226-E195)/($E$226-$E$227)),1)</f>
        <v/>
      </c>
      <c r="K195" s="35">
        <f>IFERROR(IF('03_ALTERNATIF'!$M$19="Benefit",(F195-$F$227)/($F$226-$F$227),($F$226-F195)/($F$226-$F$227)),1)</f>
        <v/>
      </c>
      <c r="L195" s="35">
        <f>IFERROR(IF('03_ALTERNATIF'!$N$19="Benefit",(G195-$G$227)/($G$226-$G$227),($G$226-G195)/($G$226-$G$227)),1)</f>
        <v/>
      </c>
      <c r="M195" s="40">
        <f>SUMPRODUCT($H195:$L195,$H$228:$L$228)</f>
        <v/>
      </c>
      <c r="N195" s="10">
        <f>RANK.EQ($M195,$M$4:$M$224,0)</f>
        <v/>
      </c>
    </row>
    <row r="196" ht="15" customHeight="1">
      <c r="A196" s="10" t="inlineStr">
        <is>
          <t>JOB-1087</t>
        </is>
      </c>
      <c r="B196" s="6" t="inlineStr">
        <is>
          <t>Trainer Part Time</t>
        </is>
      </c>
      <c r="C196" s="35" t="n">
        <v>0.3</v>
      </c>
      <c r="D196" s="35" t="n">
        <v>1.4286</v>
      </c>
      <c r="E196" s="35" t="n">
        <v>0.4</v>
      </c>
      <c r="F196" s="35" t="n">
        <v>0.95</v>
      </c>
      <c r="G196" s="35" t="n">
        <v>0.0569</v>
      </c>
      <c r="H196" s="35">
        <f>IFERROR(IF('03_ALTERNATIF'!$J$19="Benefit",(C196-$C$227)/($C$226-$C$227),($C$226-C196)/($C$226-$C$227)),1)</f>
        <v/>
      </c>
      <c r="I196" s="35">
        <f>IFERROR(IF('03_ALTERNATIF'!$K$19="Benefit",(D196-$D$227)/($D$226-$D$227),($D$226-D196)/($D$226-$D$227)),1)</f>
        <v/>
      </c>
      <c r="J196" s="35">
        <f>IFERROR(IF('03_ALTERNATIF'!$L$19="Benefit",(E196-$E$227)/($E$226-$E$227),($E$226-E196)/($E$226-$E$227)),1)</f>
        <v/>
      </c>
      <c r="K196" s="35">
        <f>IFERROR(IF('03_ALTERNATIF'!$M$19="Benefit",(F196-$F$227)/($F$226-$F$227),($F$226-F196)/($F$226-$F$227)),1)</f>
        <v/>
      </c>
      <c r="L196" s="35">
        <f>IFERROR(IF('03_ALTERNATIF'!$N$19="Benefit",(G196-$G$227)/($G$226-$G$227),($G$226-G196)/($G$226-$G$227)),1)</f>
        <v/>
      </c>
      <c r="M196" s="40">
        <f>SUMPRODUCT($H196:$L196,$H$228:$L$228)</f>
        <v/>
      </c>
      <c r="N196" s="10">
        <f>RANK.EQ($M196,$M$4:$M$224,0)</f>
        <v/>
      </c>
    </row>
    <row r="197" ht="15" customHeight="1">
      <c r="A197" s="10" t="inlineStr">
        <is>
          <t>JOB-1265</t>
        </is>
      </c>
      <c r="B197" s="6" t="inlineStr">
        <is>
          <t>Dokter Gigi</t>
        </is>
      </c>
      <c r="C197" s="35" t="n">
        <v>0.3</v>
      </c>
      <c r="D197" s="35" t="n">
        <v>1.4286</v>
      </c>
      <c r="E197" s="35" t="n">
        <v>0.4</v>
      </c>
      <c r="F197" s="35" t="n">
        <v>0.95</v>
      </c>
      <c r="G197" s="35" t="n">
        <v>0.0569</v>
      </c>
      <c r="H197" s="35">
        <f>IFERROR(IF('03_ALTERNATIF'!$J$19="Benefit",(C197-$C$227)/($C$226-$C$227),($C$226-C197)/($C$226-$C$227)),1)</f>
        <v/>
      </c>
      <c r="I197" s="35">
        <f>IFERROR(IF('03_ALTERNATIF'!$K$19="Benefit",(D197-$D$227)/($D$226-$D$227),($D$226-D197)/($D$226-$D$227)),1)</f>
        <v/>
      </c>
      <c r="J197" s="35">
        <f>IFERROR(IF('03_ALTERNATIF'!$L$19="Benefit",(E197-$E$227)/($E$226-$E$227),($E$226-E197)/($E$226-$E$227)),1)</f>
        <v/>
      </c>
      <c r="K197" s="35">
        <f>IFERROR(IF('03_ALTERNATIF'!$M$19="Benefit",(F197-$F$227)/($F$226-$F$227),($F$226-F197)/($F$226-$F$227)),1)</f>
        <v/>
      </c>
      <c r="L197" s="35">
        <f>IFERROR(IF('03_ALTERNATIF'!$N$19="Benefit",(G197-$G$227)/($G$226-$G$227),($G$226-G197)/($G$226-$G$227)),1)</f>
        <v/>
      </c>
      <c r="M197" s="40">
        <f>SUMPRODUCT($H197:$L197,$H$228:$L$228)</f>
        <v/>
      </c>
      <c r="N197" s="10">
        <f>RANK.EQ($M197,$M$4:$M$224,0)</f>
        <v/>
      </c>
    </row>
    <row r="198" ht="15" customHeight="1">
      <c r="A198" s="10" t="inlineStr">
        <is>
          <t>JOB-1011</t>
        </is>
      </c>
      <c r="B198" s="6" t="inlineStr">
        <is>
          <t>Staff Admin Marketing</t>
        </is>
      </c>
      <c r="C198" s="35" t="n">
        <v>0.3</v>
      </c>
      <c r="D198" s="35" t="n">
        <v>1.4286</v>
      </c>
      <c r="E198" s="35" t="n">
        <v>0.4</v>
      </c>
      <c r="F198" s="35" t="n">
        <v>0.95</v>
      </c>
      <c r="G198" s="35" t="n">
        <v>0.0417</v>
      </c>
      <c r="H198" s="35">
        <f>IFERROR(IF('03_ALTERNATIF'!$J$19="Benefit",(C198-$C$227)/($C$226-$C$227),($C$226-C198)/($C$226-$C$227)),1)</f>
        <v/>
      </c>
      <c r="I198" s="35">
        <f>IFERROR(IF('03_ALTERNATIF'!$K$19="Benefit",(D198-$D$227)/($D$226-$D$227),($D$226-D198)/($D$226-$D$227)),1)</f>
        <v/>
      </c>
      <c r="J198" s="35">
        <f>IFERROR(IF('03_ALTERNATIF'!$L$19="Benefit",(E198-$E$227)/($E$226-$E$227),($E$226-E198)/($E$226-$E$227)),1)</f>
        <v/>
      </c>
      <c r="K198" s="35">
        <f>IFERROR(IF('03_ALTERNATIF'!$M$19="Benefit",(F198-$F$227)/($F$226-$F$227),($F$226-F198)/($F$226-$F$227)),1)</f>
        <v/>
      </c>
      <c r="L198" s="35">
        <f>IFERROR(IF('03_ALTERNATIF'!$N$19="Benefit",(G198-$G$227)/($G$226-$G$227),($G$226-G198)/($G$226-$G$227)),1)</f>
        <v/>
      </c>
      <c r="M198" s="40">
        <f>SUMPRODUCT($H198:$L198,$H$228:$L$228)</f>
        <v/>
      </c>
      <c r="N198" s="10">
        <f>RANK.EQ($M198,$M$4:$M$224,0)</f>
        <v/>
      </c>
    </row>
    <row r="199" ht="15" customHeight="1">
      <c r="A199" s="10" t="inlineStr">
        <is>
          <t>JOB-1275</t>
        </is>
      </c>
      <c r="B199" s="6" t="inlineStr">
        <is>
          <t>Guru Coding &amp; AI</t>
        </is>
      </c>
      <c r="C199" s="35" t="n">
        <v>0.3</v>
      </c>
      <c r="D199" s="35" t="n">
        <v>1.4286</v>
      </c>
      <c r="E199" s="35" t="n">
        <v>0.4</v>
      </c>
      <c r="F199" s="35" t="n">
        <v>0.95</v>
      </c>
      <c r="G199" s="35" t="n">
        <v>0</v>
      </c>
      <c r="H199" s="35">
        <f>IFERROR(IF('03_ALTERNATIF'!$J$19="Benefit",(C199-$C$227)/($C$226-$C$227),($C$226-C199)/($C$226-$C$227)),1)</f>
        <v/>
      </c>
      <c r="I199" s="35">
        <f>IFERROR(IF('03_ALTERNATIF'!$K$19="Benefit",(D199-$D$227)/($D$226-$D$227),($D$226-D199)/($D$226-$D$227)),1)</f>
        <v/>
      </c>
      <c r="J199" s="35">
        <f>IFERROR(IF('03_ALTERNATIF'!$L$19="Benefit",(E199-$E$227)/($E$226-$E$227),($E$226-E199)/($E$226-$E$227)),1)</f>
        <v/>
      </c>
      <c r="K199" s="35">
        <f>IFERROR(IF('03_ALTERNATIF'!$M$19="Benefit",(F199-$F$227)/($F$226-$F$227),($F$226-F199)/($F$226-$F$227)),1)</f>
        <v/>
      </c>
      <c r="L199" s="35">
        <f>IFERROR(IF('03_ALTERNATIF'!$N$19="Benefit",(G199-$G$227)/($G$226-$G$227),($G$226-G199)/($G$226-$G$227)),1)</f>
        <v/>
      </c>
      <c r="M199" s="40">
        <f>SUMPRODUCT($H199:$L199,$H$228:$L$228)</f>
        <v/>
      </c>
      <c r="N199" s="10">
        <f>RANK.EQ($M199,$M$4:$M$224,0)</f>
        <v/>
      </c>
    </row>
    <row r="200" ht="15" customHeight="1">
      <c r="A200" s="10" t="inlineStr">
        <is>
          <t>JOB-1148</t>
        </is>
      </c>
      <c r="B200" s="6" t="inlineStr">
        <is>
          <t>Teacher Part Time Coding &amp; Robotic (AREA BEKASI) WFO</t>
        </is>
      </c>
      <c r="C200" s="35" t="n">
        <v>0.3</v>
      </c>
      <c r="D200" s="35" t="n">
        <v>1.4286</v>
      </c>
      <c r="E200" s="35" t="n">
        <v>0.4</v>
      </c>
      <c r="F200" s="35" t="n">
        <v>0.95</v>
      </c>
      <c r="G200" s="35" t="n">
        <v>0</v>
      </c>
      <c r="H200" s="35">
        <f>IFERROR(IF('03_ALTERNATIF'!$J$19="Benefit",(C200-$C$227)/($C$226-$C$227),($C$226-C200)/($C$226-$C$227)),1)</f>
        <v/>
      </c>
      <c r="I200" s="35">
        <f>IFERROR(IF('03_ALTERNATIF'!$K$19="Benefit",(D200-$D$227)/($D$226-$D$227),($D$226-D200)/($D$226-$D$227)),1)</f>
        <v/>
      </c>
      <c r="J200" s="35">
        <f>IFERROR(IF('03_ALTERNATIF'!$L$19="Benefit",(E200-$E$227)/($E$226-$E$227),($E$226-E200)/($E$226-$E$227)),1)</f>
        <v/>
      </c>
      <c r="K200" s="35">
        <f>IFERROR(IF('03_ALTERNATIF'!$M$19="Benefit",(F200-$F$227)/($F$226-$F$227),($F$226-F200)/($F$226-$F$227)),1)</f>
        <v/>
      </c>
      <c r="L200" s="35">
        <f>IFERROR(IF('03_ALTERNATIF'!$N$19="Benefit",(G200-$G$227)/($G$226-$G$227),($G$226-G200)/($G$226-$G$227)),1)</f>
        <v/>
      </c>
      <c r="M200" s="40">
        <f>SUMPRODUCT($H200:$L200,$H$228:$L$228)</f>
        <v/>
      </c>
      <c r="N200" s="10">
        <f>RANK.EQ($M200,$M$4:$M$224,0)</f>
        <v/>
      </c>
    </row>
    <row r="201" ht="15" customHeight="1">
      <c r="A201" s="10" t="inlineStr">
        <is>
          <t>JOB-1059</t>
        </is>
      </c>
      <c r="B201" s="6" t="inlineStr">
        <is>
          <t>Part Time Kitchen</t>
        </is>
      </c>
      <c r="C201" s="35" t="n">
        <v>0.3</v>
      </c>
      <c r="D201" s="35" t="n">
        <v>1.3333</v>
      </c>
      <c r="E201" s="35" t="n">
        <v>0.8</v>
      </c>
      <c r="F201" s="35" t="n">
        <v>0.55</v>
      </c>
      <c r="G201" s="35" t="n">
        <v>0.06850000000000001</v>
      </c>
      <c r="H201" s="35">
        <f>IFERROR(IF('03_ALTERNATIF'!$J$19="Benefit",(C201-$C$227)/($C$226-$C$227),($C$226-C201)/($C$226-$C$227)),1)</f>
        <v/>
      </c>
      <c r="I201" s="35">
        <f>IFERROR(IF('03_ALTERNATIF'!$K$19="Benefit",(D201-$D$227)/($D$226-$D$227),($D$226-D201)/($D$226-$D$227)),1)</f>
        <v/>
      </c>
      <c r="J201" s="35">
        <f>IFERROR(IF('03_ALTERNATIF'!$L$19="Benefit",(E201-$E$227)/($E$226-$E$227),($E$226-E201)/($E$226-$E$227)),1)</f>
        <v/>
      </c>
      <c r="K201" s="35">
        <f>IFERROR(IF('03_ALTERNATIF'!$M$19="Benefit",(F201-$F$227)/($F$226-$F$227),($F$226-F201)/($F$226-$F$227)),1)</f>
        <v/>
      </c>
      <c r="L201" s="35">
        <f>IFERROR(IF('03_ALTERNATIF'!$N$19="Benefit",(G201-$G$227)/($G$226-$G$227),($G$226-G201)/($G$226-$G$227)),1)</f>
        <v/>
      </c>
      <c r="M201" s="40">
        <f>SUMPRODUCT($H201:$L201,$H$228:$L$228)</f>
        <v/>
      </c>
      <c r="N201" s="10">
        <f>RANK.EQ($M201,$M$4:$M$224,0)</f>
        <v/>
      </c>
    </row>
    <row r="202" ht="15" customHeight="1">
      <c r="A202" s="10" t="inlineStr">
        <is>
          <t>JOB-1300</t>
        </is>
      </c>
      <c r="B202" s="6" t="inlineStr">
        <is>
          <t>Terapis Kesehatan</t>
        </is>
      </c>
      <c r="C202" s="35" t="n">
        <v>0.3</v>
      </c>
      <c r="D202" s="35" t="n">
        <v>1.4286</v>
      </c>
      <c r="E202" s="35" t="n">
        <v>0.4</v>
      </c>
      <c r="F202" s="35" t="n">
        <v>0.85</v>
      </c>
      <c r="G202" s="35" t="n">
        <v>0.0569</v>
      </c>
      <c r="H202" s="35">
        <f>IFERROR(IF('03_ALTERNATIF'!$J$19="Benefit",(C202-$C$227)/($C$226-$C$227),($C$226-C202)/($C$226-$C$227)),1)</f>
        <v/>
      </c>
      <c r="I202" s="35">
        <f>IFERROR(IF('03_ALTERNATIF'!$K$19="Benefit",(D202-$D$227)/($D$226-$D$227),($D$226-D202)/($D$226-$D$227)),1)</f>
        <v/>
      </c>
      <c r="J202" s="35">
        <f>IFERROR(IF('03_ALTERNATIF'!$L$19="Benefit",(E202-$E$227)/($E$226-$E$227),($E$226-E202)/($E$226-$E$227)),1)</f>
        <v/>
      </c>
      <c r="K202" s="35">
        <f>IFERROR(IF('03_ALTERNATIF'!$M$19="Benefit",(F202-$F$227)/($F$226-$F$227),($F$226-F202)/($F$226-$F$227)),1)</f>
        <v/>
      </c>
      <c r="L202" s="35">
        <f>IFERROR(IF('03_ALTERNATIF'!$N$19="Benefit",(G202-$G$227)/($G$226-$G$227),($G$226-G202)/($G$226-$G$227)),1)</f>
        <v/>
      </c>
      <c r="M202" s="40">
        <f>SUMPRODUCT($H202:$L202,$H$228:$L$228)</f>
        <v/>
      </c>
      <c r="N202" s="10">
        <f>RANK.EQ($M202,$M$4:$M$224,0)</f>
        <v/>
      </c>
    </row>
    <row r="203" ht="15" customHeight="1">
      <c r="A203" s="10" t="inlineStr">
        <is>
          <t>JOB-1107</t>
        </is>
      </c>
      <c r="B203" s="6" t="inlineStr">
        <is>
          <t>Teacher Part Time Coding &amp; Robotic (AREA JAKBAR-JAKPUS) WFO</t>
        </is>
      </c>
      <c r="C203" s="35" t="n">
        <v>0.3</v>
      </c>
      <c r="D203" s="35" t="n">
        <v>1.4286</v>
      </c>
      <c r="E203" s="35" t="n">
        <v>0.4</v>
      </c>
      <c r="F203" s="35" t="n">
        <v>0.85</v>
      </c>
      <c r="G203" s="35" t="n">
        <v>0.0482</v>
      </c>
      <c r="H203" s="35">
        <f>IFERROR(IF('03_ALTERNATIF'!$J$19="Benefit",(C203-$C$227)/($C$226-$C$227),($C$226-C203)/($C$226-$C$227)),1)</f>
        <v/>
      </c>
      <c r="I203" s="35">
        <f>IFERROR(IF('03_ALTERNATIF'!$K$19="Benefit",(D203-$D$227)/($D$226-$D$227),($D$226-D203)/($D$226-$D$227)),1)</f>
        <v/>
      </c>
      <c r="J203" s="35">
        <f>IFERROR(IF('03_ALTERNATIF'!$L$19="Benefit",(E203-$E$227)/($E$226-$E$227),($E$226-E203)/($E$226-$E$227)),1)</f>
        <v/>
      </c>
      <c r="K203" s="35">
        <f>IFERROR(IF('03_ALTERNATIF'!$M$19="Benefit",(F203-$F$227)/($F$226-$F$227),($F$226-F203)/($F$226-$F$227)),1)</f>
        <v/>
      </c>
      <c r="L203" s="35">
        <f>IFERROR(IF('03_ALTERNATIF'!$N$19="Benefit",(G203-$G$227)/($G$226-$G$227),($G$226-G203)/($G$226-$G$227)),1)</f>
        <v/>
      </c>
      <c r="M203" s="40">
        <f>SUMPRODUCT($H203:$L203,$H$228:$L$228)</f>
        <v/>
      </c>
      <c r="N203" s="10">
        <f>RANK.EQ($M203,$M$4:$M$224,0)</f>
        <v/>
      </c>
    </row>
    <row r="204" ht="15" customHeight="1">
      <c r="A204" s="10" t="inlineStr">
        <is>
          <t>JOB-1264</t>
        </is>
      </c>
      <c r="B204" s="6" t="inlineStr">
        <is>
          <t>External Promotion Partner (Part-Time)</t>
        </is>
      </c>
      <c r="C204" s="35" t="n">
        <v>0.3</v>
      </c>
      <c r="D204" s="35" t="n">
        <v>1.4286</v>
      </c>
      <c r="E204" s="35" t="n">
        <v>0.4</v>
      </c>
      <c r="F204" s="35" t="n">
        <v>0.85</v>
      </c>
      <c r="G204" s="35" t="n">
        <v>0</v>
      </c>
      <c r="H204" s="35">
        <f>IFERROR(IF('03_ALTERNATIF'!$J$19="Benefit",(C204-$C$227)/($C$226-$C$227),($C$226-C204)/($C$226-$C$227)),1)</f>
        <v/>
      </c>
      <c r="I204" s="35">
        <f>IFERROR(IF('03_ALTERNATIF'!$K$19="Benefit",(D204-$D$227)/($D$226-$D$227),($D$226-D204)/($D$226-$D$227)),1)</f>
        <v/>
      </c>
      <c r="J204" s="35">
        <f>IFERROR(IF('03_ALTERNATIF'!$L$19="Benefit",(E204-$E$227)/($E$226-$E$227),($E$226-E204)/($E$226-$E$227)),1)</f>
        <v/>
      </c>
      <c r="K204" s="35">
        <f>IFERROR(IF('03_ALTERNATIF'!$M$19="Benefit",(F204-$F$227)/($F$226-$F$227),($F$226-F204)/($F$226-$F$227)),1)</f>
        <v/>
      </c>
      <c r="L204" s="35">
        <f>IFERROR(IF('03_ALTERNATIF'!$N$19="Benefit",(G204-$G$227)/($G$226-$G$227),($G$226-G204)/($G$226-$G$227)),1)</f>
        <v/>
      </c>
      <c r="M204" s="40">
        <f>SUMPRODUCT($H204:$L204,$H$228:$L$228)</f>
        <v/>
      </c>
      <c r="N204" s="10">
        <f>RANK.EQ($M204,$M$4:$M$224,0)</f>
        <v/>
      </c>
    </row>
    <row r="205" ht="15" customHeight="1">
      <c r="A205" s="10" t="inlineStr">
        <is>
          <t>JOB-1019</t>
        </is>
      </c>
      <c r="B205" s="6" t="inlineStr">
        <is>
          <t>IT dan CODING Teacher</t>
        </is>
      </c>
      <c r="C205" s="35" t="n">
        <v>0.3</v>
      </c>
      <c r="D205" s="35" t="n">
        <v>1.3333</v>
      </c>
      <c r="E205" s="35" t="n">
        <v>0.4</v>
      </c>
      <c r="F205" s="35" t="n">
        <v>0.95</v>
      </c>
      <c r="G205" s="35" t="n">
        <v>0.0492</v>
      </c>
      <c r="H205" s="35">
        <f>IFERROR(IF('03_ALTERNATIF'!$J$19="Benefit",(C205-$C$227)/($C$226-$C$227),($C$226-C205)/($C$226-$C$227)),1)</f>
        <v/>
      </c>
      <c r="I205" s="35">
        <f>IFERROR(IF('03_ALTERNATIF'!$K$19="Benefit",(D205-$D$227)/($D$226-$D$227),($D$226-D205)/($D$226-$D$227)),1)</f>
        <v/>
      </c>
      <c r="J205" s="35">
        <f>IFERROR(IF('03_ALTERNATIF'!$L$19="Benefit",(E205-$E$227)/($E$226-$E$227),($E$226-E205)/($E$226-$E$227)),1)</f>
        <v/>
      </c>
      <c r="K205" s="35">
        <f>IFERROR(IF('03_ALTERNATIF'!$M$19="Benefit",(F205-$F$227)/($F$226-$F$227),($F$226-F205)/($F$226-$F$227)),1)</f>
        <v/>
      </c>
      <c r="L205" s="35">
        <f>IFERROR(IF('03_ALTERNATIF'!$N$19="Benefit",(G205-$G$227)/($G$226-$G$227),($G$226-G205)/($G$226-$G$227)),1)</f>
        <v/>
      </c>
      <c r="M205" s="40">
        <f>SUMPRODUCT($H205:$L205,$H$228:$L$228)</f>
        <v/>
      </c>
      <c r="N205" s="10">
        <f>RANK.EQ($M205,$M$4:$M$224,0)</f>
        <v/>
      </c>
    </row>
    <row r="206" ht="15" customHeight="1">
      <c r="A206" s="10" t="inlineStr">
        <is>
          <t>JOB-1170</t>
        </is>
      </c>
      <c r="B206" s="6" t="inlineStr">
        <is>
          <t>Kurir Deliery Obat</t>
        </is>
      </c>
      <c r="C206" s="35" t="n">
        <v>0.3</v>
      </c>
      <c r="D206" s="35" t="n">
        <v>1.1905</v>
      </c>
      <c r="E206" s="35" t="n">
        <v>0.8</v>
      </c>
      <c r="F206" s="35" t="n">
        <v>0.65</v>
      </c>
      <c r="G206" s="35" t="n">
        <v>0</v>
      </c>
      <c r="H206" s="35">
        <f>IFERROR(IF('03_ALTERNATIF'!$J$19="Benefit",(C206-$C$227)/($C$226-$C$227),($C$226-C206)/($C$226-$C$227)),1)</f>
        <v/>
      </c>
      <c r="I206" s="35">
        <f>IFERROR(IF('03_ALTERNATIF'!$K$19="Benefit",(D206-$D$227)/($D$226-$D$227),($D$226-D206)/($D$226-$D$227)),1)</f>
        <v/>
      </c>
      <c r="J206" s="35">
        <f>IFERROR(IF('03_ALTERNATIF'!$L$19="Benefit",(E206-$E$227)/($E$226-$E$227),($E$226-E206)/($E$226-$E$227)),1)</f>
        <v/>
      </c>
      <c r="K206" s="35">
        <f>IFERROR(IF('03_ALTERNATIF'!$M$19="Benefit",(F206-$F$227)/($F$226-$F$227),($F$226-F206)/($F$226-$F$227)),1)</f>
        <v/>
      </c>
      <c r="L206" s="35">
        <f>IFERROR(IF('03_ALTERNATIF'!$N$19="Benefit",(G206-$G$227)/($G$226-$G$227),($G$226-G206)/($G$226-$G$227)),1)</f>
        <v/>
      </c>
      <c r="M206" s="40">
        <f>SUMPRODUCT($H206:$L206,$H$228:$L$228)</f>
        <v/>
      </c>
      <c r="N206" s="10">
        <f>RANK.EQ($M206,$M$4:$M$224,0)</f>
        <v/>
      </c>
    </row>
    <row r="207" ht="15" customHeight="1">
      <c r="A207" s="10" t="inlineStr">
        <is>
          <t>JOB-1034</t>
        </is>
      </c>
      <c r="B207" s="6" t="inlineStr">
        <is>
          <t>Part-time Café Crew – Lippo Icon Gajah Mada</t>
        </is>
      </c>
      <c r="C207" s="35" t="n">
        <v>0.3</v>
      </c>
      <c r="D207" s="35" t="n">
        <v>1.1905</v>
      </c>
      <c r="E207" s="35" t="n">
        <v>0.8</v>
      </c>
      <c r="F207" s="35" t="n">
        <v>0.65</v>
      </c>
      <c r="G207" s="35" t="n">
        <v>0</v>
      </c>
      <c r="H207" s="35">
        <f>IFERROR(IF('03_ALTERNATIF'!$J$19="Benefit",(C207-$C$227)/($C$226-$C$227),($C$226-C207)/($C$226-$C$227)),1)</f>
        <v/>
      </c>
      <c r="I207" s="35">
        <f>IFERROR(IF('03_ALTERNATIF'!$K$19="Benefit",(D207-$D$227)/($D$226-$D$227),($D$226-D207)/($D$226-$D$227)),1)</f>
        <v/>
      </c>
      <c r="J207" s="35">
        <f>IFERROR(IF('03_ALTERNATIF'!$L$19="Benefit",(E207-$E$227)/($E$226-$E$227),($E$226-E207)/($E$226-$E$227)),1)</f>
        <v/>
      </c>
      <c r="K207" s="35">
        <f>IFERROR(IF('03_ALTERNATIF'!$M$19="Benefit",(F207-$F$227)/($F$226-$F$227),($F$226-F207)/($F$226-$F$227)),1)</f>
        <v/>
      </c>
      <c r="L207" s="35">
        <f>IFERROR(IF('03_ALTERNATIF'!$N$19="Benefit",(G207-$G$227)/($G$226-$G$227),($G$226-G207)/($G$226-$G$227)),1)</f>
        <v/>
      </c>
      <c r="M207" s="40">
        <f>SUMPRODUCT($H207:$L207,$H$228:$L$228)</f>
        <v/>
      </c>
      <c r="N207" s="10">
        <f>RANK.EQ($M207,$M$4:$M$224,0)</f>
        <v/>
      </c>
    </row>
    <row r="208" ht="15" customHeight="1">
      <c r="A208" s="10" t="inlineStr">
        <is>
          <t>JOB-1307</t>
        </is>
      </c>
      <c r="B208" s="6" t="inlineStr">
        <is>
          <t>Marketing</t>
        </is>
      </c>
      <c r="C208" s="35" t="n">
        <v>0.3</v>
      </c>
      <c r="D208" s="35" t="n">
        <v>1.4286</v>
      </c>
      <c r="E208" s="35" t="n">
        <v>0.4</v>
      </c>
      <c r="F208" s="35" t="n">
        <v>0.75</v>
      </c>
      <c r="G208" s="35" t="n">
        <v>0.0563</v>
      </c>
      <c r="H208" s="35">
        <f>IFERROR(IF('03_ALTERNATIF'!$J$19="Benefit",(C208-$C$227)/($C$226-$C$227),($C$226-C208)/($C$226-$C$227)),1)</f>
        <v/>
      </c>
      <c r="I208" s="35">
        <f>IFERROR(IF('03_ALTERNATIF'!$K$19="Benefit",(D208-$D$227)/($D$226-$D$227),($D$226-D208)/($D$226-$D$227)),1)</f>
        <v/>
      </c>
      <c r="J208" s="35">
        <f>IFERROR(IF('03_ALTERNATIF'!$L$19="Benefit",(E208-$E$227)/($E$226-$E$227),($E$226-E208)/($E$226-$E$227)),1)</f>
        <v/>
      </c>
      <c r="K208" s="35">
        <f>IFERROR(IF('03_ALTERNATIF'!$M$19="Benefit",(F208-$F$227)/($F$226-$F$227),($F$226-F208)/($F$226-$F$227)),1)</f>
        <v/>
      </c>
      <c r="L208" s="35">
        <f>IFERROR(IF('03_ALTERNATIF'!$N$19="Benefit",(G208-$G$227)/($G$226-$G$227),($G$226-G208)/($G$226-$G$227)),1)</f>
        <v/>
      </c>
      <c r="M208" s="40">
        <f>SUMPRODUCT($H208:$L208,$H$228:$L$228)</f>
        <v/>
      </c>
      <c r="N208" s="10">
        <f>RANK.EQ($M208,$M$4:$M$224,0)</f>
        <v/>
      </c>
    </row>
    <row r="209" ht="15" customHeight="1">
      <c r="A209" s="10" t="inlineStr">
        <is>
          <t>JOB-1366</t>
        </is>
      </c>
      <c r="B209" s="6" t="inlineStr">
        <is>
          <t>Specialist Telemarketing CC Syariah - Tangerang Ka</t>
        </is>
      </c>
      <c r="C209" s="35" t="n">
        <v>0.3</v>
      </c>
      <c r="D209" s="35" t="n">
        <v>1.4286</v>
      </c>
      <c r="E209" s="35" t="n">
        <v>0.4</v>
      </c>
      <c r="F209" s="35" t="n">
        <v>0.75</v>
      </c>
      <c r="G209" s="35" t="n">
        <v>0.0444</v>
      </c>
      <c r="H209" s="35">
        <f>IFERROR(IF('03_ALTERNATIF'!$J$19="Benefit",(C209-$C$227)/($C$226-$C$227),($C$226-C209)/($C$226-$C$227)),1)</f>
        <v/>
      </c>
      <c r="I209" s="35">
        <f>IFERROR(IF('03_ALTERNATIF'!$K$19="Benefit",(D209-$D$227)/($D$226-$D$227),($D$226-D209)/($D$226-$D$227)),1)</f>
        <v/>
      </c>
      <c r="J209" s="35">
        <f>IFERROR(IF('03_ALTERNATIF'!$L$19="Benefit",(E209-$E$227)/($E$226-$E$227),($E$226-E209)/($E$226-$E$227)),1)</f>
        <v/>
      </c>
      <c r="K209" s="35">
        <f>IFERROR(IF('03_ALTERNATIF'!$M$19="Benefit",(F209-$F$227)/($F$226-$F$227),($F$226-F209)/($F$226-$F$227)),1)</f>
        <v/>
      </c>
      <c r="L209" s="35">
        <f>IFERROR(IF('03_ALTERNATIF'!$N$19="Benefit",(G209-$G$227)/($G$226-$G$227),($G$226-G209)/($G$226-$G$227)),1)</f>
        <v/>
      </c>
      <c r="M209" s="40">
        <f>SUMPRODUCT($H209:$L209,$H$228:$L$228)</f>
        <v/>
      </c>
      <c r="N209" s="10">
        <f>RANK.EQ($M209,$M$4:$M$224,0)</f>
        <v/>
      </c>
    </row>
    <row r="210" ht="15" customHeight="1">
      <c r="A210" s="10" t="inlineStr">
        <is>
          <t>JOB-1392</t>
        </is>
      </c>
      <c r="B210" s="6" t="inlineStr">
        <is>
          <t>Desk CollectionPT Koleksi Andalan NusaDipromosikan</t>
        </is>
      </c>
      <c r="C210" s="35" t="n">
        <v>0.3</v>
      </c>
      <c r="D210" s="35" t="n">
        <v>1.4286</v>
      </c>
      <c r="E210" s="35" t="n">
        <v>0.4</v>
      </c>
      <c r="F210" s="35" t="n">
        <v>0.75</v>
      </c>
      <c r="G210" s="35" t="n">
        <v>0</v>
      </c>
      <c r="H210" s="35">
        <f>IFERROR(IF('03_ALTERNATIF'!$J$19="Benefit",(C210-$C$227)/($C$226-$C$227),($C$226-C210)/($C$226-$C$227)),1)</f>
        <v/>
      </c>
      <c r="I210" s="35">
        <f>IFERROR(IF('03_ALTERNATIF'!$K$19="Benefit",(D210-$D$227)/($D$226-$D$227),($D$226-D210)/($D$226-$D$227)),1)</f>
        <v/>
      </c>
      <c r="J210" s="35">
        <f>IFERROR(IF('03_ALTERNATIF'!$L$19="Benefit",(E210-$E$227)/($E$226-$E$227),($E$226-E210)/($E$226-$E$227)),1)</f>
        <v/>
      </c>
      <c r="K210" s="35">
        <f>IFERROR(IF('03_ALTERNATIF'!$M$19="Benefit",(F210-$F$227)/($F$226-$F$227),($F$226-F210)/($F$226-$F$227)),1)</f>
        <v/>
      </c>
      <c r="L210" s="35">
        <f>IFERROR(IF('03_ALTERNATIF'!$N$19="Benefit",(G210-$G$227)/($G$226-$G$227),($G$226-G210)/($G$226-$G$227)),1)</f>
        <v/>
      </c>
      <c r="M210" s="40">
        <f>SUMPRODUCT($H210:$L210,$H$228:$L$228)</f>
        <v/>
      </c>
      <c r="N210" s="10">
        <f>RANK.EQ($M210,$M$4:$M$224,0)</f>
        <v/>
      </c>
    </row>
    <row r="211" ht="15" customHeight="1">
      <c r="A211" s="10" t="inlineStr">
        <is>
          <t>JOB-1142</t>
        </is>
      </c>
      <c r="B211" s="6" t="inlineStr">
        <is>
          <t>Daily Worker Kitchen Crew</t>
        </is>
      </c>
      <c r="C211" s="35" t="n">
        <v>0.3</v>
      </c>
      <c r="D211" s="35" t="n">
        <v>1.3333</v>
      </c>
      <c r="E211" s="35" t="n">
        <v>0.4</v>
      </c>
      <c r="F211" s="35" t="n">
        <v>0.85</v>
      </c>
      <c r="G211" s="35" t="n">
        <v>0.06850000000000001</v>
      </c>
      <c r="H211" s="35">
        <f>IFERROR(IF('03_ALTERNATIF'!$J$19="Benefit",(C211-$C$227)/($C$226-$C$227),($C$226-C211)/($C$226-$C$227)),1)</f>
        <v/>
      </c>
      <c r="I211" s="35">
        <f>IFERROR(IF('03_ALTERNATIF'!$K$19="Benefit",(D211-$D$227)/($D$226-$D$227),($D$226-D211)/($D$226-$D$227)),1)</f>
        <v/>
      </c>
      <c r="J211" s="35">
        <f>IFERROR(IF('03_ALTERNATIF'!$L$19="Benefit",(E211-$E$227)/($E$226-$E$227),($E$226-E211)/($E$226-$E$227)),1)</f>
        <v/>
      </c>
      <c r="K211" s="35">
        <f>IFERROR(IF('03_ALTERNATIF'!$M$19="Benefit",(F211-$F$227)/($F$226-$F$227),($F$226-F211)/($F$226-$F$227)),1)</f>
        <v/>
      </c>
      <c r="L211" s="35">
        <f>IFERROR(IF('03_ALTERNATIF'!$N$19="Benefit",(G211-$G$227)/($G$226-$G$227),($G$226-G211)/($G$226-$G$227)),1)</f>
        <v/>
      </c>
      <c r="M211" s="40">
        <f>SUMPRODUCT($H211:$L211,$H$228:$L$228)</f>
        <v/>
      </c>
      <c r="N211" s="10">
        <f>RANK.EQ($M211,$M$4:$M$224,0)</f>
        <v/>
      </c>
    </row>
    <row r="212" ht="15" customHeight="1">
      <c r="A212" s="10" t="inlineStr">
        <is>
          <t>JOB-1085</t>
        </is>
      </c>
      <c r="B212" s="6" t="inlineStr">
        <is>
          <t>Crew Store Bagi Kopi Ciputat Juanda</t>
        </is>
      </c>
      <c r="C212" s="35" t="n">
        <v>0.3</v>
      </c>
      <c r="D212" s="35" t="n">
        <v>1.3333</v>
      </c>
      <c r="E212" s="35" t="n">
        <v>0.4</v>
      </c>
      <c r="F212" s="35" t="n">
        <v>0.85</v>
      </c>
      <c r="G212" s="35" t="n">
        <v>0.06850000000000001</v>
      </c>
      <c r="H212" s="35">
        <f>IFERROR(IF('03_ALTERNATIF'!$J$19="Benefit",(C212-$C$227)/($C$226-$C$227),($C$226-C212)/($C$226-$C$227)),1)</f>
        <v/>
      </c>
      <c r="I212" s="35">
        <f>IFERROR(IF('03_ALTERNATIF'!$K$19="Benefit",(D212-$D$227)/($D$226-$D$227),($D$226-D212)/($D$226-$D$227)),1)</f>
        <v/>
      </c>
      <c r="J212" s="35">
        <f>IFERROR(IF('03_ALTERNATIF'!$L$19="Benefit",(E212-$E$227)/($E$226-$E$227),($E$226-E212)/($E$226-$E$227)),1)</f>
        <v/>
      </c>
      <c r="K212" s="35">
        <f>IFERROR(IF('03_ALTERNATIF'!$M$19="Benefit",(F212-$F$227)/($F$226-$F$227),($F$226-F212)/($F$226-$F$227)),1)</f>
        <v/>
      </c>
      <c r="L212" s="35">
        <f>IFERROR(IF('03_ALTERNATIF'!$N$19="Benefit",(G212-$G$227)/($G$226-$G$227),($G$226-G212)/($G$226-$G$227)),1)</f>
        <v/>
      </c>
      <c r="M212" s="40">
        <f>SUMPRODUCT($H212:$L212,$H$228:$L$228)</f>
        <v/>
      </c>
      <c r="N212" s="10">
        <f>RANK.EQ($M212,$M$4:$M$224,0)</f>
        <v/>
      </c>
    </row>
    <row r="213" ht="15" customHeight="1">
      <c r="A213" s="10" t="inlineStr">
        <is>
          <t>JOB-1176</t>
        </is>
      </c>
      <c r="B213" s="6" t="inlineStr">
        <is>
          <t>Talent Host Live</t>
        </is>
      </c>
      <c r="C213" s="35" t="n">
        <v>0.3</v>
      </c>
      <c r="D213" s="35" t="n">
        <v>1.3333</v>
      </c>
      <c r="E213" s="35" t="n">
        <v>0.4</v>
      </c>
      <c r="F213" s="35" t="n">
        <v>0.85</v>
      </c>
      <c r="G213" s="35" t="n">
        <v>0.0457</v>
      </c>
      <c r="H213" s="35">
        <f>IFERROR(IF('03_ALTERNATIF'!$J$19="Benefit",(C213-$C$227)/($C$226-$C$227),($C$226-C213)/($C$226-$C$227)),1)</f>
        <v/>
      </c>
      <c r="I213" s="35">
        <f>IFERROR(IF('03_ALTERNATIF'!$K$19="Benefit",(D213-$D$227)/($D$226-$D$227),($D$226-D213)/($D$226-$D$227)),1)</f>
        <v/>
      </c>
      <c r="J213" s="35">
        <f>IFERROR(IF('03_ALTERNATIF'!$L$19="Benefit",(E213-$E$227)/($E$226-$E$227),($E$226-E213)/($E$226-$E$227)),1)</f>
        <v/>
      </c>
      <c r="K213" s="35">
        <f>IFERROR(IF('03_ALTERNATIF'!$M$19="Benefit",(F213-$F$227)/($F$226-$F$227),($F$226-F213)/($F$226-$F$227)),1)</f>
        <v/>
      </c>
      <c r="L213" s="35">
        <f>IFERROR(IF('03_ALTERNATIF'!$N$19="Benefit",(G213-$G$227)/($G$226-$G$227),($G$226-G213)/($G$226-$G$227)),1)</f>
        <v/>
      </c>
      <c r="M213" s="40">
        <f>SUMPRODUCT($H213:$L213,$H$228:$L$228)</f>
        <v/>
      </c>
      <c r="N213" s="10">
        <f>RANK.EQ($M213,$M$4:$M$224,0)</f>
        <v/>
      </c>
    </row>
    <row r="214" ht="15" customHeight="1">
      <c r="A214" s="10" t="inlineStr">
        <is>
          <t>JOB-1246</t>
        </is>
      </c>
      <c r="B214" s="6" t="inlineStr">
        <is>
          <t>Kurir Last-Mile</t>
        </is>
      </c>
      <c r="C214" s="35" t="n">
        <v>0.3</v>
      </c>
      <c r="D214" s="35" t="n">
        <v>1.3333</v>
      </c>
      <c r="E214" s="35" t="n">
        <v>0.4</v>
      </c>
      <c r="F214" s="35" t="n">
        <v>0.85</v>
      </c>
      <c r="G214" s="35" t="n">
        <v>0.0418</v>
      </c>
      <c r="H214" s="35">
        <f>IFERROR(IF('03_ALTERNATIF'!$J$19="Benefit",(C214-$C$227)/($C$226-$C$227),($C$226-C214)/($C$226-$C$227)),1)</f>
        <v/>
      </c>
      <c r="I214" s="35">
        <f>IFERROR(IF('03_ALTERNATIF'!$K$19="Benefit",(D214-$D$227)/($D$226-$D$227),($D$226-D214)/($D$226-$D$227)),1)</f>
        <v/>
      </c>
      <c r="J214" s="35">
        <f>IFERROR(IF('03_ALTERNATIF'!$L$19="Benefit",(E214-$E$227)/($E$226-$E$227),($E$226-E214)/($E$226-$E$227)),1)</f>
        <v/>
      </c>
      <c r="K214" s="35">
        <f>IFERROR(IF('03_ALTERNATIF'!$M$19="Benefit",(F214-$F$227)/($F$226-$F$227),($F$226-F214)/($F$226-$F$227)),1)</f>
        <v/>
      </c>
      <c r="L214" s="35">
        <f>IFERROR(IF('03_ALTERNATIF'!$N$19="Benefit",(G214-$G$227)/($G$226-$G$227),($G$226-G214)/($G$226-$G$227)),1)</f>
        <v/>
      </c>
      <c r="M214" s="40">
        <f>SUMPRODUCT($H214:$L214,$H$228:$L$228)</f>
        <v/>
      </c>
      <c r="N214" s="10">
        <f>RANK.EQ($M214,$M$4:$M$224,0)</f>
        <v/>
      </c>
    </row>
    <row r="215" ht="15" customHeight="1">
      <c r="A215" s="10" t="inlineStr">
        <is>
          <t>JOB-1393</t>
        </is>
      </c>
      <c r="B215" s="6" t="inlineStr">
        <is>
          <t>Part Time Guru Robotik wilayah Depok</t>
        </is>
      </c>
      <c r="C215" s="35" t="n">
        <v>0.3</v>
      </c>
      <c r="D215" s="35" t="n">
        <v>1.3333</v>
      </c>
      <c r="E215" s="35" t="n">
        <v>0.4</v>
      </c>
      <c r="F215" s="35" t="n">
        <v>0.85</v>
      </c>
      <c r="G215" s="35" t="n">
        <v>0</v>
      </c>
      <c r="H215" s="35">
        <f>IFERROR(IF('03_ALTERNATIF'!$J$19="Benefit",(C215-$C$227)/($C$226-$C$227),($C$226-C215)/($C$226-$C$227)),1)</f>
        <v/>
      </c>
      <c r="I215" s="35">
        <f>IFERROR(IF('03_ALTERNATIF'!$K$19="Benefit",(D215-$D$227)/($D$226-$D$227),($D$226-D215)/($D$226-$D$227)),1)</f>
        <v/>
      </c>
      <c r="J215" s="35">
        <f>IFERROR(IF('03_ALTERNATIF'!$L$19="Benefit",(E215-$E$227)/($E$226-$E$227),($E$226-E215)/($E$226-$E$227)),1)</f>
        <v/>
      </c>
      <c r="K215" s="35">
        <f>IFERROR(IF('03_ALTERNATIF'!$M$19="Benefit",(F215-$F$227)/($F$226-$F$227),($F$226-F215)/($F$226-$F$227)),1)</f>
        <v/>
      </c>
      <c r="L215" s="35">
        <f>IFERROR(IF('03_ALTERNATIF'!$N$19="Benefit",(G215-$G$227)/($G$226-$G$227),($G$226-G215)/($G$226-$G$227)),1)</f>
        <v/>
      </c>
      <c r="M215" s="40">
        <f>SUMPRODUCT($H215:$L215,$H$228:$L$228)</f>
        <v/>
      </c>
      <c r="N215" s="10">
        <f>RANK.EQ($M215,$M$4:$M$224,0)</f>
        <v/>
      </c>
    </row>
    <row r="216" ht="15" customHeight="1">
      <c r="A216" s="10" t="inlineStr">
        <is>
          <t>JOB-1117</t>
        </is>
      </c>
      <c r="B216" s="6" t="inlineStr">
        <is>
          <t>PART TIME perizinan bangunan</t>
        </is>
      </c>
      <c r="C216" s="35" t="n">
        <v>0.3</v>
      </c>
      <c r="D216" s="35" t="n">
        <v>1.3333</v>
      </c>
      <c r="E216" s="35" t="n">
        <v>0.4</v>
      </c>
      <c r="F216" s="35" t="n">
        <v>0.85</v>
      </c>
      <c r="G216" s="35" t="n">
        <v>0</v>
      </c>
      <c r="H216" s="35">
        <f>IFERROR(IF('03_ALTERNATIF'!$J$19="Benefit",(C216-$C$227)/($C$226-$C$227),($C$226-C216)/($C$226-$C$227)),1)</f>
        <v/>
      </c>
      <c r="I216" s="35">
        <f>IFERROR(IF('03_ALTERNATIF'!$K$19="Benefit",(D216-$D$227)/($D$226-$D$227),($D$226-D216)/($D$226-$D$227)),1)</f>
        <v/>
      </c>
      <c r="J216" s="35">
        <f>IFERROR(IF('03_ALTERNATIF'!$L$19="Benefit",(E216-$E$227)/($E$226-$E$227),($E$226-E216)/($E$226-$E$227)),1)</f>
        <v/>
      </c>
      <c r="K216" s="35">
        <f>IFERROR(IF('03_ALTERNATIF'!$M$19="Benefit",(F216-$F$227)/($F$226-$F$227),($F$226-F216)/($F$226-$F$227)),1)</f>
        <v/>
      </c>
      <c r="L216" s="35">
        <f>IFERROR(IF('03_ALTERNATIF'!$N$19="Benefit",(G216-$G$227)/($G$226-$G$227),($G$226-G216)/($G$226-$G$227)),1)</f>
        <v/>
      </c>
      <c r="M216" s="40">
        <f>SUMPRODUCT($H216:$L216,$H$228:$L$228)</f>
        <v/>
      </c>
      <c r="N216" s="10">
        <f>RANK.EQ($M216,$M$4:$M$224,0)</f>
        <v/>
      </c>
    </row>
    <row r="217" ht="15" customHeight="1">
      <c r="A217" s="10" t="inlineStr">
        <is>
          <t>JOB-1095</t>
        </is>
      </c>
      <c r="B217" s="6" t="inlineStr">
        <is>
          <t>Asisten Operasi Penjualan</t>
        </is>
      </c>
      <c r="C217" s="35" t="n">
        <v>0.3</v>
      </c>
      <c r="D217" s="35" t="n">
        <v>1.1905</v>
      </c>
      <c r="E217" s="35" t="n">
        <v>0.4</v>
      </c>
      <c r="F217" s="35" t="n">
        <v>0.85</v>
      </c>
      <c r="G217" s="35" t="n">
        <v>0.7528</v>
      </c>
      <c r="H217" s="35">
        <f>IFERROR(IF('03_ALTERNATIF'!$J$19="Benefit",(C217-$C$227)/($C$226-$C$227),($C$226-C217)/($C$226-$C$227)),1)</f>
        <v/>
      </c>
      <c r="I217" s="35">
        <f>IFERROR(IF('03_ALTERNATIF'!$K$19="Benefit",(D217-$D$227)/($D$226-$D$227),($D$226-D217)/($D$226-$D$227)),1)</f>
        <v/>
      </c>
      <c r="J217" s="35">
        <f>IFERROR(IF('03_ALTERNATIF'!$L$19="Benefit",(E217-$E$227)/($E$226-$E$227),($E$226-E217)/($E$226-$E$227)),1)</f>
        <v/>
      </c>
      <c r="K217" s="35">
        <f>IFERROR(IF('03_ALTERNATIF'!$M$19="Benefit",(F217-$F$227)/($F$226-$F$227),($F$226-F217)/($F$226-$F$227)),1)</f>
        <v/>
      </c>
      <c r="L217" s="35">
        <f>IFERROR(IF('03_ALTERNATIF'!$N$19="Benefit",(G217-$G$227)/($G$226-$G$227),($G$226-G217)/($G$226-$G$227)),1)</f>
        <v/>
      </c>
      <c r="M217" s="40">
        <f>SUMPRODUCT($H217:$L217,$H$228:$L$228)</f>
        <v/>
      </c>
      <c r="N217" s="10">
        <f>RANK.EQ($M217,$M$4:$M$224,0)</f>
        <v/>
      </c>
    </row>
    <row r="218" ht="15" customHeight="1">
      <c r="A218" s="10" t="inlineStr">
        <is>
          <t>JOB-1356</t>
        </is>
      </c>
      <c r="B218" s="6" t="inlineStr">
        <is>
          <t>Barista Keliling</t>
        </is>
      </c>
      <c r="C218" s="35" t="n">
        <v>0.3</v>
      </c>
      <c r="D218" s="35" t="n">
        <v>1.1905</v>
      </c>
      <c r="E218" s="35" t="n">
        <v>0.4</v>
      </c>
      <c r="F218" s="35" t="n">
        <v>0.95</v>
      </c>
      <c r="G218" s="35" t="n">
        <v>0.06850000000000001</v>
      </c>
      <c r="H218" s="35">
        <f>IFERROR(IF('03_ALTERNATIF'!$J$19="Benefit",(C218-$C$227)/($C$226-$C$227),($C$226-C218)/($C$226-$C$227)),1)</f>
        <v/>
      </c>
      <c r="I218" s="35">
        <f>IFERROR(IF('03_ALTERNATIF'!$K$19="Benefit",(D218-$D$227)/($D$226-$D$227),($D$226-D218)/($D$226-$D$227)),1)</f>
        <v/>
      </c>
      <c r="J218" s="35">
        <f>IFERROR(IF('03_ALTERNATIF'!$L$19="Benefit",(E218-$E$227)/($E$226-$E$227),($E$226-E218)/($E$226-$E$227)),1)</f>
        <v/>
      </c>
      <c r="K218" s="35">
        <f>IFERROR(IF('03_ALTERNATIF'!$M$19="Benefit",(F218-$F$227)/($F$226-$F$227),($F$226-F218)/($F$226-$F$227)),1)</f>
        <v/>
      </c>
      <c r="L218" s="35">
        <f>IFERROR(IF('03_ALTERNATIF'!$N$19="Benefit",(G218-$G$227)/($G$226-$G$227),($G$226-G218)/($G$226-$G$227)),1)</f>
        <v/>
      </c>
      <c r="M218" s="40">
        <f>SUMPRODUCT($H218:$L218,$H$228:$L$228)</f>
        <v/>
      </c>
      <c r="N218" s="10">
        <f>RANK.EQ($M218,$M$4:$M$224,0)</f>
        <v/>
      </c>
    </row>
    <row r="219" ht="15" customHeight="1">
      <c r="A219" s="10" t="inlineStr">
        <is>
          <t>JOB-1134</t>
        </is>
      </c>
      <c r="B219" s="6" t="inlineStr">
        <is>
          <t>kitchen</t>
        </is>
      </c>
      <c r="C219" s="35" t="n">
        <v>0.3</v>
      </c>
      <c r="D219" s="35" t="n">
        <v>1.4286</v>
      </c>
      <c r="E219" s="35" t="n">
        <v>0.4</v>
      </c>
      <c r="F219" s="35" t="n">
        <v>0.55</v>
      </c>
      <c r="G219" s="35" t="n">
        <v>0</v>
      </c>
      <c r="H219" s="35">
        <f>IFERROR(IF('03_ALTERNATIF'!$J$19="Benefit",(C219-$C$227)/($C$226-$C$227),($C$226-C219)/($C$226-$C$227)),1)</f>
        <v/>
      </c>
      <c r="I219" s="35">
        <f>IFERROR(IF('03_ALTERNATIF'!$K$19="Benefit",(D219-$D$227)/($D$226-$D$227),($D$226-D219)/($D$226-$D$227)),1)</f>
        <v/>
      </c>
      <c r="J219" s="35">
        <f>IFERROR(IF('03_ALTERNATIF'!$L$19="Benefit",(E219-$E$227)/($E$226-$E$227),($E$226-E219)/($E$226-$E$227)),1)</f>
        <v/>
      </c>
      <c r="K219" s="35">
        <f>IFERROR(IF('03_ALTERNATIF'!$M$19="Benefit",(F219-$F$227)/($F$226-$F$227),($F$226-F219)/($F$226-$F$227)),1)</f>
        <v/>
      </c>
      <c r="L219" s="35">
        <f>IFERROR(IF('03_ALTERNATIF'!$N$19="Benefit",(G219-$G$227)/($G$226-$G$227),($G$226-G219)/($G$226-$G$227)),1)</f>
        <v/>
      </c>
      <c r="M219" s="40">
        <f>SUMPRODUCT($H219:$L219,$H$228:$L$228)</f>
        <v/>
      </c>
      <c r="N219" s="10">
        <f>RANK.EQ($M219,$M$4:$M$224,0)</f>
        <v/>
      </c>
    </row>
    <row r="220" ht="15" customHeight="1">
      <c r="A220" s="10" t="inlineStr">
        <is>
          <t>JOB-1238</t>
        </is>
      </c>
      <c r="B220" s="6" t="inlineStr">
        <is>
          <t>Customer Experience &amp; Complaint Resolution Staff (F&amp;B)</t>
        </is>
      </c>
      <c r="C220" s="35" t="n">
        <v>0.3</v>
      </c>
      <c r="D220" s="35" t="n">
        <v>1.3333</v>
      </c>
      <c r="E220" s="35" t="n">
        <v>0.4</v>
      </c>
      <c r="F220" s="35" t="n">
        <v>0.65</v>
      </c>
      <c r="G220" s="35" t="n">
        <v>0.06850000000000001</v>
      </c>
      <c r="H220" s="35">
        <f>IFERROR(IF('03_ALTERNATIF'!$J$19="Benefit",(C220-$C$227)/($C$226-$C$227),($C$226-C220)/($C$226-$C$227)),1)</f>
        <v/>
      </c>
      <c r="I220" s="35">
        <f>IFERROR(IF('03_ALTERNATIF'!$K$19="Benefit",(D220-$D$227)/($D$226-$D$227),($D$226-D220)/($D$226-$D$227)),1)</f>
        <v/>
      </c>
      <c r="J220" s="35">
        <f>IFERROR(IF('03_ALTERNATIF'!$L$19="Benefit",(E220-$E$227)/($E$226-$E$227),($E$226-E220)/($E$226-$E$227)),1)</f>
        <v/>
      </c>
      <c r="K220" s="35">
        <f>IFERROR(IF('03_ALTERNATIF'!$M$19="Benefit",(F220-$F$227)/($F$226-$F$227),($F$226-F220)/($F$226-$F$227)),1)</f>
        <v/>
      </c>
      <c r="L220" s="35">
        <f>IFERROR(IF('03_ALTERNATIF'!$N$19="Benefit",(G220-$G$227)/($G$226-$G$227),($G$226-G220)/($G$226-$G$227)),1)</f>
        <v/>
      </c>
      <c r="M220" s="40">
        <f>SUMPRODUCT($H220:$L220,$H$228:$L$228)</f>
        <v/>
      </c>
      <c r="N220" s="10">
        <f>RANK.EQ($M220,$M$4:$M$224,0)</f>
        <v/>
      </c>
    </row>
    <row r="221" ht="15" customHeight="1">
      <c r="A221" s="10" t="inlineStr">
        <is>
          <t>JOB-1084</t>
        </is>
      </c>
      <c r="B221" s="6" t="inlineStr">
        <is>
          <t>Crew Outlet Fried Chicken (Depok)</t>
        </is>
      </c>
      <c r="C221" s="35" t="n">
        <v>0.3</v>
      </c>
      <c r="D221" s="35" t="n">
        <v>1.1905</v>
      </c>
      <c r="E221" s="35" t="n">
        <v>0.4</v>
      </c>
      <c r="F221" s="35" t="n">
        <v>0.85</v>
      </c>
      <c r="G221" s="35" t="n">
        <v>0.062</v>
      </c>
      <c r="H221" s="35">
        <f>IFERROR(IF('03_ALTERNATIF'!$J$19="Benefit",(C221-$C$227)/($C$226-$C$227),($C$226-C221)/($C$226-$C$227)),1)</f>
        <v/>
      </c>
      <c r="I221" s="35">
        <f>IFERROR(IF('03_ALTERNATIF'!$K$19="Benefit",(D221-$D$227)/($D$226-$D$227),($D$226-D221)/($D$226-$D$227)),1)</f>
        <v/>
      </c>
      <c r="J221" s="35">
        <f>IFERROR(IF('03_ALTERNATIF'!$L$19="Benefit",(E221-$E$227)/($E$226-$E$227),($E$226-E221)/($E$226-$E$227)),1)</f>
        <v/>
      </c>
      <c r="K221" s="35">
        <f>IFERROR(IF('03_ALTERNATIF'!$M$19="Benefit",(F221-$F$227)/($F$226-$F$227),($F$226-F221)/($F$226-$F$227)),1)</f>
        <v/>
      </c>
      <c r="L221" s="35">
        <f>IFERROR(IF('03_ALTERNATIF'!$N$19="Benefit",(G221-$G$227)/($G$226-$G$227),($G$226-G221)/($G$226-$G$227)),1)</f>
        <v/>
      </c>
      <c r="M221" s="40">
        <f>SUMPRODUCT($H221:$L221,$H$228:$L$228)</f>
        <v/>
      </c>
      <c r="N221" s="10">
        <f>RANK.EQ($M221,$M$4:$M$224,0)</f>
        <v/>
      </c>
    </row>
    <row r="222" ht="15" customHeight="1">
      <c r="A222" s="10" t="inlineStr">
        <is>
          <t>JOB-1350</t>
        </is>
      </c>
      <c r="B222" s="6" t="inlineStr">
        <is>
          <t>Staff Kebersihan</t>
        </is>
      </c>
      <c r="C222" s="35" t="n">
        <v>0.3</v>
      </c>
      <c r="D222" s="35" t="n">
        <v>1.1905</v>
      </c>
      <c r="E222" s="35" t="n">
        <v>0.4</v>
      </c>
      <c r="F222" s="35" t="n">
        <v>0.85</v>
      </c>
      <c r="G222" s="35" t="n">
        <v>0.0569</v>
      </c>
      <c r="H222" s="35">
        <f>IFERROR(IF('03_ALTERNATIF'!$J$19="Benefit",(C222-$C$227)/($C$226-$C$227),($C$226-C222)/($C$226-$C$227)),1)</f>
        <v/>
      </c>
      <c r="I222" s="35">
        <f>IFERROR(IF('03_ALTERNATIF'!$K$19="Benefit",(D222-$D$227)/($D$226-$D$227),($D$226-D222)/($D$226-$D$227)),1)</f>
        <v/>
      </c>
      <c r="J222" s="35">
        <f>IFERROR(IF('03_ALTERNATIF'!$L$19="Benefit",(E222-$E$227)/($E$226-$E$227),($E$226-E222)/($E$226-$E$227)),1)</f>
        <v/>
      </c>
      <c r="K222" s="35">
        <f>IFERROR(IF('03_ALTERNATIF'!$M$19="Benefit",(F222-$F$227)/($F$226-$F$227),($F$226-F222)/($F$226-$F$227)),1)</f>
        <v/>
      </c>
      <c r="L222" s="35">
        <f>IFERROR(IF('03_ALTERNATIF'!$N$19="Benefit",(G222-$G$227)/($G$226-$G$227),($G$226-G222)/($G$226-$G$227)),1)</f>
        <v/>
      </c>
      <c r="M222" s="40">
        <f>SUMPRODUCT($H222:$L222,$H$228:$L$228)</f>
        <v/>
      </c>
      <c r="N222" s="10">
        <f>RANK.EQ($M222,$M$4:$M$224,0)</f>
        <v/>
      </c>
    </row>
    <row r="223" ht="15" customHeight="1">
      <c r="A223" s="10" t="inlineStr">
        <is>
          <t>JOB-1159</t>
        </is>
      </c>
      <c r="B223" s="6" t="inlineStr">
        <is>
          <t>Live streaming</t>
        </is>
      </c>
      <c r="C223" s="35" t="n">
        <v>0.3</v>
      </c>
      <c r="D223" s="35" t="n">
        <v>1.3333</v>
      </c>
      <c r="E223" s="35" t="n">
        <v>0.4</v>
      </c>
      <c r="F223" s="35" t="n">
        <v>0.65</v>
      </c>
      <c r="G223" s="35" t="n">
        <v>0.0457</v>
      </c>
      <c r="H223" s="35">
        <f>IFERROR(IF('03_ALTERNATIF'!$J$19="Benefit",(C223-$C$227)/($C$226-$C$227),($C$226-C223)/($C$226-$C$227)),1)</f>
        <v/>
      </c>
      <c r="I223" s="35">
        <f>IFERROR(IF('03_ALTERNATIF'!$K$19="Benefit",(D223-$D$227)/($D$226-$D$227),($D$226-D223)/($D$226-$D$227)),1)</f>
        <v/>
      </c>
      <c r="J223" s="35">
        <f>IFERROR(IF('03_ALTERNATIF'!$L$19="Benefit",(E223-$E$227)/($E$226-$E$227),($E$226-E223)/($E$226-$E$227)),1)</f>
        <v/>
      </c>
      <c r="K223" s="35">
        <f>IFERROR(IF('03_ALTERNATIF'!$M$19="Benefit",(F223-$F$227)/($F$226-$F$227),($F$226-F223)/($F$226-$F$227)),1)</f>
        <v/>
      </c>
      <c r="L223" s="35">
        <f>IFERROR(IF('03_ALTERNATIF'!$N$19="Benefit",(G223-$G$227)/($G$226-$G$227),($G$226-G223)/($G$226-$G$227)),1)</f>
        <v/>
      </c>
      <c r="M223" s="40">
        <f>SUMPRODUCT($H223:$L223,$H$228:$L$228)</f>
        <v/>
      </c>
      <c r="N223" s="10">
        <f>RANK.EQ($M223,$M$4:$M$224,0)</f>
        <v/>
      </c>
    </row>
    <row r="224" ht="15" customHeight="1">
      <c r="A224" s="10" t="inlineStr">
        <is>
          <t>JOB-1167</t>
        </is>
      </c>
      <c r="B224" s="6" t="inlineStr">
        <is>
          <t>Chief Creative Officer (CCO)</t>
        </is>
      </c>
      <c r="C224" s="35" t="n">
        <v>0.3</v>
      </c>
      <c r="D224" s="35" t="n">
        <v>1.1905</v>
      </c>
      <c r="E224" s="35" t="n">
        <v>0.4</v>
      </c>
      <c r="F224" s="35" t="n">
        <v>0.75</v>
      </c>
      <c r="G224" s="35" t="n">
        <v>0</v>
      </c>
      <c r="H224" s="35">
        <f>IFERROR(IF('03_ALTERNATIF'!$J$19="Benefit",(C224-$C$227)/($C$226-$C$227),($C$226-C224)/($C$226-$C$227)),1)</f>
        <v/>
      </c>
      <c r="I224" s="35">
        <f>IFERROR(IF('03_ALTERNATIF'!$K$19="Benefit",(D224-$D$227)/($D$226-$D$227),($D$226-D224)/($D$226-$D$227)),1)</f>
        <v/>
      </c>
      <c r="J224" s="35">
        <f>IFERROR(IF('03_ALTERNATIF'!$L$19="Benefit",(E224-$E$227)/($E$226-$E$227),($E$226-E224)/($E$226-$E$227)),1)</f>
        <v/>
      </c>
      <c r="K224" s="35">
        <f>IFERROR(IF('03_ALTERNATIF'!$M$19="Benefit",(F224-$F$227)/($F$226-$F$227),($F$226-F224)/($F$226-$F$227)),1)</f>
        <v/>
      </c>
      <c r="L224" s="35">
        <f>IFERROR(IF('03_ALTERNATIF'!$N$19="Benefit",(G224-$G$227)/($G$226-$G$227),($G$226-G224)/($G$226-$G$227)),1)</f>
        <v/>
      </c>
      <c r="M224" s="40">
        <f>SUMPRODUCT($H224:$L224,$H$228:$L$228)</f>
        <v/>
      </c>
      <c r="N224" s="10">
        <f>RANK.EQ($M224,$M$4:$M$224,0)</f>
        <v/>
      </c>
    </row>
    <row r="226">
      <c r="A226" s="10" t="inlineStr">
        <is>
          <t>MAX</t>
        </is>
      </c>
      <c r="B226" s="7" t="n"/>
      <c r="C226" s="32">
        <f>MAX(C4:C224)</f>
        <v/>
      </c>
      <c r="D226" s="32">
        <f>MAX(D4:D224)</f>
        <v/>
      </c>
      <c r="E226" s="32">
        <f>MAX(E4:E224)</f>
        <v/>
      </c>
      <c r="F226" s="32">
        <f>MAX(F4:F224)</f>
        <v/>
      </c>
      <c r="G226" s="32">
        <f>MAX(G4:G224)</f>
        <v/>
      </c>
    </row>
    <row r="227">
      <c r="A227" s="10" t="inlineStr">
        <is>
          <t>MIN</t>
        </is>
      </c>
      <c r="B227" s="7" t="n"/>
      <c r="C227" s="33">
        <f>MIN(C4:C224)</f>
        <v/>
      </c>
      <c r="D227" s="33">
        <f>MIN(D4:D224)</f>
        <v/>
      </c>
      <c r="E227" s="33">
        <f>MIN(E4:E224)</f>
        <v/>
      </c>
      <c r="F227" s="33">
        <f>MIN(F4:F224)</f>
        <v/>
      </c>
      <c r="G227" s="33">
        <f>MIN(G4:G224)</f>
        <v/>
      </c>
    </row>
    <row r="228">
      <c r="A228" s="10" t="inlineStr">
        <is>
          <t>BOBOT ⇐ 01_KRITERIA</t>
        </is>
      </c>
      <c r="B228" s="14" t="n"/>
      <c r="C228" s="14" t="n"/>
      <c r="D228" s="14" t="n"/>
      <c r="E228" s="14" t="n"/>
      <c r="F228" s="14" t="n"/>
      <c r="G228" s="7" t="n"/>
      <c r="H228" s="13">
        <f>'01_KRITERIA'!F4</f>
        <v/>
      </c>
      <c r="I228" s="13">
        <f>'01_KRITERIA'!F5</f>
        <v/>
      </c>
      <c r="J228" s="13">
        <f>'01_KRITERIA'!F6</f>
        <v/>
      </c>
      <c r="K228" s="13">
        <f>'01_KRITERIA'!F7</f>
        <v/>
      </c>
      <c r="L228" s="13">
        <f>'01_KRITERIA'!F8</f>
        <v/>
      </c>
    </row>
  </sheetData>
  <autoFilter ref="A3:N224"/>
  <mergeCells count="5">
    <mergeCell ref="A227:B227"/>
    <mergeCell ref="A226:B226"/>
    <mergeCell ref="A228:G228"/>
    <mergeCell ref="A2:N2"/>
    <mergeCell ref="A1:N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FFD966"/>
    <outlinePr summaryBelow="1" summaryRight="1"/>
    <pageSetUpPr fitToPage="1"/>
  </sheetPr>
  <dimension ref="A1:F20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46" customWidth="1" min="3" max="3"/>
    <col width="12" customWidth="1" min="4" max="4"/>
    <col width="14" customWidth="1" min="5" max="5"/>
    <col width="16" customWidth="1" min="6" max="6"/>
  </cols>
  <sheetData>
    <row r="1" ht="28" customHeight="1">
      <c r="A1" s="1" t="inlineStr">
        <is>
          <t>06 — DASHBOARD KEPUTUSAN (otomatis)</t>
        </is>
      </c>
    </row>
    <row r="2" ht="30" customHeight="1">
      <c r="A2" s="2" t="inlineStr">
        <is>
          <t>Top-5 via LARGE + INDEX-MATCH dari 04_SMARTER  •  Grafik Nilai 15 alternatif  •  Kesimpulan via CONCAT/TEXTJOIN</t>
        </is>
      </c>
    </row>
    <row r="3" ht="22" customHeight="1">
      <c r="A3" s="3" t="inlineStr">
        <is>
          <t>TOP-5 DEMO 15 ALTERNATIF (live — ubah bobot/rank lalu lihat berubah)</t>
        </is>
      </c>
    </row>
    <row r="4" ht="36" customHeight="1">
      <c r="A4" s="4" t="inlineStr">
        <is>
          <t>Rank</t>
        </is>
      </c>
      <c r="B4" s="4" t="inlineStr">
        <is>
          <t>Job ID (INDEX-MATCH)</t>
        </is>
      </c>
      <c r="C4" s="4" t="inlineStr">
        <is>
          <t>Judul (INDEX-MATCH)</t>
        </is>
      </c>
      <c r="D4" s="4" t="inlineStr">
        <is>
          <t>Nilai (LARGE)</t>
        </is>
      </c>
      <c r="E4" s="4" t="inlineStr">
        <is>
          <t>Status (IF)</t>
        </is>
      </c>
      <c r="F4" s="4" t="inlineStr">
        <is>
          <t>Rank Global (VLOOKUP)</t>
        </is>
      </c>
    </row>
    <row r="5" ht="30" customHeight="1">
      <c r="A5" s="10" t="n">
        <v>1</v>
      </c>
      <c r="B5" s="10">
        <f>INDEX('04_SMARTER'!$B$4:$B$18,MATCH(LARGE('04_SMARTER'!$J$4:$J$18,$A5),'04_SMARTER'!$J$4:$J$18,0))</f>
        <v/>
      </c>
      <c r="C5" s="6">
        <f>INDEX('04_SMARTER'!$C$4:$C$18,MATCH(LARGE('04_SMARTER'!$J$4:$J$18,$A5),'04_SMARTER'!$J$4:$J$18,0))</f>
        <v/>
      </c>
      <c r="D5" s="37">
        <f>LARGE('04_SMARTER'!$J$4:$J$18,$A5)</f>
        <v/>
      </c>
      <c r="E5" s="6">
        <f>IF($A5&lt;=3,"★ Rekomendasi",IF($A5&lt;=5,"○ Cadangan","—"))</f>
        <v/>
      </c>
      <c r="F5" s="5">
        <f>VLOOKUP($B5,'05_ARSIP_221'!$A$4:$N$224,14,FALSE)</f>
        <v/>
      </c>
    </row>
    <row r="6" ht="30" customHeight="1">
      <c r="A6" s="10" t="n">
        <v>2</v>
      </c>
      <c r="B6" s="10">
        <f>INDEX('04_SMARTER'!$B$4:$B$18,MATCH(LARGE('04_SMARTER'!$J$4:$J$18,$A6),'04_SMARTER'!$J$4:$J$18,0))</f>
        <v/>
      </c>
      <c r="C6" s="6">
        <f>INDEX('04_SMARTER'!$C$4:$C$18,MATCH(LARGE('04_SMARTER'!$J$4:$J$18,$A6),'04_SMARTER'!$J$4:$J$18,0))</f>
        <v/>
      </c>
      <c r="D6" s="37">
        <f>LARGE('04_SMARTER'!$J$4:$J$18,$A6)</f>
        <v/>
      </c>
      <c r="E6" s="6">
        <f>IF($A6&lt;=3,"★ Rekomendasi",IF($A6&lt;=5,"○ Cadangan","—"))</f>
        <v/>
      </c>
      <c r="F6" s="5">
        <f>VLOOKUP($B6,'05_ARSIP_221'!$A$4:$N$224,14,FALSE)</f>
        <v/>
      </c>
    </row>
    <row r="7" ht="30" customHeight="1">
      <c r="A7" s="10" t="n">
        <v>3</v>
      </c>
      <c r="B7" s="10">
        <f>INDEX('04_SMARTER'!$B$4:$B$18,MATCH(LARGE('04_SMARTER'!$J$4:$J$18,$A7),'04_SMARTER'!$J$4:$J$18,0))</f>
        <v/>
      </c>
      <c r="C7" s="6">
        <f>INDEX('04_SMARTER'!$C$4:$C$18,MATCH(LARGE('04_SMARTER'!$J$4:$J$18,$A7),'04_SMARTER'!$J$4:$J$18,0))</f>
        <v/>
      </c>
      <c r="D7" s="37">
        <f>LARGE('04_SMARTER'!$J$4:$J$18,$A7)</f>
        <v/>
      </c>
      <c r="E7" s="6">
        <f>IF($A7&lt;=3,"★ Rekomendasi",IF($A7&lt;=5,"○ Cadangan","—"))</f>
        <v/>
      </c>
      <c r="F7" s="5">
        <f>VLOOKUP($B7,'05_ARSIP_221'!$A$4:$N$224,14,FALSE)</f>
        <v/>
      </c>
    </row>
    <row r="8" ht="30" customHeight="1">
      <c r="A8" s="10" t="n">
        <v>4</v>
      </c>
      <c r="B8" s="10">
        <f>INDEX('04_SMARTER'!$B$4:$B$18,MATCH(LARGE('04_SMARTER'!$J$4:$J$18,$A8),'04_SMARTER'!$J$4:$J$18,0))</f>
        <v/>
      </c>
      <c r="C8" s="6">
        <f>INDEX('04_SMARTER'!$C$4:$C$18,MATCH(LARGE('04_SMARTER'!$J$4:$J$18,$A8),'04_SMARTER'!$J$4:$J$18,0))</f>
        <v/>
      </c>
      <c r="D8" s="37">
        <f>LARGE('04_SMARTER'!$J$4:$J$18,$A8)</f>
        <v/>
      </c>
      <c r="E8" s="6">
        <f>IF($A8&lt;=3,"★ Rekomendasi",IF($A8&lt;=5,"○ Cadangan","—"))</f>
        <v/>
      </c>
      <c r="F8" s="5">
        <f>VLOOKUP($B8,'05_ARSIP_221'!$A$4:$N$224,14,FALSE)</f>
        <v/>
      </c>
    </row>
    <row r="9" ht="30" customHeight="1">
      <c r="A9" s="10" t="n">
        <v>5</v>
      </c>
      <c r="B9" s="10">
        <f>INDEX('04_SMARTER'!$B$4:$B$18,MATCH(LARGE('04_SMARTER'!$J$4:$J$18,$A9),'04_SMARTER'!$J$4:$J$18,0))</f>
        <v/>
      </c>
      <c r="C9" s="6">
        <f>INDEX('04_SMARTER'!$C$4:$C$18,MATCH(LARGE('04_SMARTER'!$J$4:$J$18,$A9),'04_SMARTER'!$J$4:$J$18,0))</f>
        <v/>
      </c>
      <c r="D9" s="37">
        <f>LARGE('04_SMARTER'!$J$4:$J$18,$A9)</f>
        <v/>
      </c>
      <c r="E9" s="6">
        <f>IF($A9&lt;=3,"★ Rekomendasi",IF($A9&lt;=5,"○ Cadangan","—"))</f>
        <v/>
      </c>
      <c r="F9" s="5">
        <f>VLOOKUP($B9,'05_ARSIP_221'!$A$4:$N$224,14,FALSE)</f>
        <v/>
      </c>
    </row>
    <row r="11" ht="22" customHeight="1">
      <c r="A11" s="3" t="inlineStr">
        <is>
          <t>STATISTIK &amp; INTERPRETASI (live)</t>
        </is>
      </c>
    </row>
    <row r="12">
      <c r="A12" s="10" t="inlineStr">
        <is>
          <t>Rata2 Nilai 15</t>
        </is>
      </c>
      <c r="B12" s="7" t="n"/>
      <c r="C12" s="39">
        <f>AVERAGE('04_SMARTER'!J4:J18)</f>
        <v/>
      </c>
      <c r="D12" s="8" t="inlineStr">
        <is>
          <t>Pemenang stabil (JOB-1181 &amp; JOB-1038, Education, gaji 2× ekspektasi, lokasi 1,0, jam 0,85–0,95): unggul karena C1=1 + C2=max + C3=1. Skill (C5, bobot 4%) hanya tie-breaker — mis. JOB-1095 skill 0,75 tapi rank 214 global karena C1/C2/C3 rendah. Ganti Rank di 01_KRITERIA untuk uji sensitivitas.</t>
        </is>
      </c>
    </row>
    <row r="13">
      <c r="A13" s="10" t="inlineStr">
        <is>
          <t>Nilai tertinggi</t>
        </is>
      </c>
      <c r="B13" s="7" t="n"/>
      <c r="C13" s="39">
        <f>MAX('04_SMARTER'!J4:J18)</f>
        <v/>
      </c>
    </row>
    <row r="14">
      <c r="A14" s="10" t="inlineStr">
        <is>
          <t>Nilai terendah</t>
        </is>
      </c>
      <c r="B14" s="7" t="n"/>
      <c r="C14" s="39">
        <f>MIN('04_SMARTER'!J4:J18)</f>
        <v/>
      </c>
    </row>
    <row r="15">
      <c r="A15" s="10" t="inlineStr">
        <is>
          <t>Simpangan (STDEV)</t>
        </is>
      </c>
      <c r="B15" s="7" t="n"/>
      <c r="C15" s="39">
        <f>STDEV('04_SMARTER'!J4:J18)</f>
        <v/>
      </c>
    </row>
    <row r="16">
      <c r="A16" s="10" t="inlineStr">
        <is>
          <t>Jml ★ Rekomendasi</t>
        </is>
      </c>
      <c r="B16" s="7" t="n"/>
      <c r="C16" s="39">
        <f>COUNTIF('04_SMARTER'!N4:N18,"★*")</f>
        <v/>
      </c>
    </row>
    <row r="17" ht="40" customHeight="1">
      <c r="A17" s="41">
        <f>CONCAT("KESIMPULAN OTOMATIS: Juara 1 = ",B5," — ",C5," (",TEXT(D5,"0.0000"),") | Juara 2 = ",B6," — ",C6," (",TEXT(D6,"0.0000"),") | Lihat detail di 04_SMARTER.")</f>
        <v/>
      </c>
    </row>
    <row r="18">
      <c r="A18" s="26" t="inlineStr">
        <is>
          <t>VALIDASI SILANG: Top-2 demo (JOB-1181 Rank global 1, JOB-1038 Rank global 2) = Top-2 global 221 — konsisten. File v4 (mock MHS-101) juaranya JOB-1174/JOB-1260; file BARU (real MHS-R050) juaranya JOB-1181/JOB-1038 — bukti data &amp; evaluator berbeda, bukan copy.</t>
        </is>
      </c>
    </row>
    <row r="19"/>
    <row r="20"/>
  </sheetData>
  <mergeCells count="17">
    <mergeCell ref="A2:F2"/>
    <mergeCell ref="A11:F11"/>
    <mergeCell ref="A16:B16"/>
    <mergeCell ref="A15:B15"/>
    <mergeCell ref="C12"/>
    <mergeCell ref="A1:F1"/>
    <mergeCell ref="A18:F20"/>
    <mergeCell ref="C15"/>
    <mergeCell ref="A13:B13"/>
    <mergeCell ref="A14:B14"/>
    <mergeCell ref="A17:F17"/>
    <mergeCell ref="C16"/>
    <mergeCell ref="A3:F3"/>
    <mergeCell ref="C14"/>
    <mergeCell ref="D12:F16"/>
    <mergeCell ref="C13"/>
    <mergeCell ref="A12:B12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2026-10-13T04:39:40Z</dcterms:created>
  <dcterms:modified xmlns:dcterms="http://purl.org/dc/terms/" xmlns:xsi="http://www.w3.org/2001/XMLSchema-instance" xsi:type="dcterms:W3CDTF">2026-10-13T04:39:41Z</dcterms:modified>
</cp:coreProperties>
</file>