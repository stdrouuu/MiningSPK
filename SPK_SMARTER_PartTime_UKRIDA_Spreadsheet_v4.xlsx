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ER" sheetId="1" state="visible" r:id="rId1"/>
    <sheet name="Data_Lengkap_2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color rgb="00C00000"/>
      <sz val="11"/>
    </font>
    <font>
      <name val="Calibri"/>
      <b val="1"/>
      <color rgb="00C000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6C6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10" fontId="5" fillId="2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2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4" customWidth="1" min="4" max="4"/>
    <col width="14" customWidth="1" min="5" max="5"/>
    <col width="13" customWidth="1" min="6" max="6"/>
    <col width="15" customWidth="1" min="7" max="7"/>
    <col width="12" customWidth="1" min="8" max="8"/>
    <col width="42" customWidth="1" min="9" max="9"/>
    <col width="13" customWidth="1" min="10" max="10"/>
    <col width="10" customWidth="1" min="11" max="11"/>
    <col width="26" customWidth="1" min="12" max="12"/>
    <col width="42" customWidth="1" min="13" max="13"/>
  </cols>
  <sheetData>
    <row r="1">
      <c r="A1" s="1" t="inlineStr">
        <is>
          <t>SPK REKOMENDASI PART-TIME MAHASISWA (SMARTER)</t>
        </is>
      </c>
    </row>
    <row r="2" ht="30" customHeight="1">
      <c r="A2" s="2" t="inlineStr">
        <is>
          <t>Sampel: MHS-101 — David Santoso | Minat: Education &amp; Tutoring | Domisili: Jakarta Barat | Gaji min: Rp 35,000/jam | Jam ideal: 18 mgg | K=5, semua Benefit</t>
        </is>
      </c>
    </row>
    <row r="3">
      <c r="A3" s="3" t="inlineStr">
        <is>
          <t>Alternatif (Lowongan)</t>
        </is>
      </c>
      <c r="B3" s="3" t="inlineStr">
        <is>
          <t>C1 Kategori</t>
        </is>
      </c>
      <c r="C3" s="3" t="inlineStr">
        <is>
          <t>C2 Rasio Gaji</t>
        </is>
      </c>
      <c r="D3" s="3" t="inlineStr">
        <is>
          <t>C3 Lokasi</t>
        </is>
      </c>
      <c r="E3" s="3" t="inlineStr">
        <is>
          <t>C4 Jam Kerja</t>
        </is>
      </c>
      <c r="F3" s="3" t="inlineStr">
        <is>
          <t>C5 Skill</t>
        </is>
      </c>
      <c r="G3" s="3" t="n"/>
      <c r="H3" s="3" t="n"/>
      <c r="L3" s="4" t="inlineStr">
        <is>
          <t>CARI PEMENANG (VLOOKUP)</t>
        </is>
      </c>
      <c r="M3" s="5" t="n"/>
    </row>
    <row r="4">
      <c r="A4" s="6" t="n"/>
      <c r="B4" s="7" t="inlineStr">
        <is>
          <t>Benefit</t>
        </is>
      </c>
      <c r="C4" s="7" t="inlineStr">
        <is>
          <t>Benefit</t>
        </is>
      </c>
      <c r="D4" s="7" t="inlineStr">
        <is>
          <t>Benefit</t>
        </is>
      </c>
      <c r="E4" s="7" t="inlineStr">
        <is>
          <t>Benefit</t>
        </is>
      </c>
      <c r="F4" s="7" t="inlineStr">
        <is>
          <t>Benefit</t>
        </is>
      </c>
      <c r="G4" s="8" t="n"/>
      <c r="H4" s="8" t="n"/>
      <c r="L4" s="9" t="inlineStr">
        <is>
          <t>Input Rank (ubah angka ini):</t>
        </is>
      </c>
      <c r="M4" s="10" t="n">
        <v>1</v>
      </c>
    </row>
    <row r="5">
      <c r="A5" s="11" t="inlineStr">
        <is>
          <t>Bobot</t>
        </is>
      </c>
      <c r="B5" s="12">
        <f>(1/4+1/5)/5</f>
        <v/>
      </c>
      <c r="C5" s="12">
        <f>(1/1+1/2+1/3+1/4+1/5)/5</f>
        <v/>
      </c>
      <c r="D5" s="12">
        <f>(1/3+1/4+1/5)/5</f>
        <v/>
      </c>
      <c r="E5" s="12">
        <f>(1/2+1/3+1/4+1/5)/5</f>
        <v/>
      </c>
      <c r="F5" s="12">
        <f>(1/5)/5</f>
        <v/>
      </c>
      <c r="G5" s="8" t="n"/>
      <c r="H5" s="8" t="n"/>
      <c r="L5" s="9" t="inlineStr">
        <is>
          <t>Judul ditemukan:</t>
        </is>
      </c>
      <c r="M5" s="8">
        <f>VLOOKUP($M$4,$H$19:$J$28,2,FALSE)</f>
        <v/>
      </c>
    </row>
    <row r="6">
      <c r="A6" s="8" t="inlineStr">
        <is>
          <t>JOB-1174 — Scholastic Assessment Test</t>
        </is>
      </c>
      <c r="B6" s="13" t="n">
        <v>0.3</v>
      </c>
      <c r="C6" s="13" t="n">
        <v>1.43</v>
      </c>
      <c r="D6" s="13" t="n">
        <v>1</v>
      </c>
      <c r="E6" s="13" t="n">
        <v>1</v>
      </c>
      <c r="F6" s="13" t="n">
        <v>0</v>
      </c>
      <c r="G6" s="8" t="n"/>
      <c r="H6" s="8" t="n"/>
      <c r="L6" s="9" t="inlineStr">
        <is>
          <t>Nilai ditemukan:</t>
        </is>
      </c>
      <c r="M6" s="13">
        <f>VLOOKUP($M$4,$H$19:$J$28,3,FALSE)</f>
        <v/>
      </c>
    </row>
    <row r="7">
      <c r="A7" s="8" t="inlineStr">
        <is>
          <t>JOB-1260 — Operator Produksi</t>
        </is>
      </c>
      <c r="B7" s="13" t="n">
        <v>0.3</v>
      </c>
      <c r="C7" s="13" t="n">
        <v>1.43</v>
      </c>
      <c r="D7" s="13" t="n">
        <v>1</v>
      </c>
      <c r="E7" s="13" t="n">
        <v>1</v>
      </c>
      <c r="F7" s="13" t="n">
        <v>0</v>
      </c>
      <c r="G7" s="8" t="n"/>
      <c r="H7" s="8" t="n"/>
    </row>
    <row r="8">
      <c r="A8" s="8" t="inlineStr">
        <is>
          <t>JOB-1038 — SAT Tutor (Remote)</t>
        </is>
      </c>
      <c r="B8" s="13" t="n">
        <v>1</v>
      </c>
      <c r="C8" s="13" t="n">
        <v>1.43</v>
      </c>
      <c r="D8" s="13" t="n">
        <v>1</v>
      </c>
      <c r="E8" s="13" t="n">
        <v>0.8</v>
      </c>
      <c r="F8" s="13" t="n">
        <v>0</v>
      </c>
      <c r="G8" s="8" t="n"/>
      <c r="H8" s="8" t="n"/>
    </row>
    <row r="9">
      <c r="A9" s="8" t="inlineStr">
        <is>
          <t>JOB-1233 — Mandarin Translator (Part Time)</t>
        </is>
      </c>
      <c r="B9" s="13" t="n">
        <v>1</v>
      </c>
      <c r="C9" s="13" t="n">
        <v>1.29</v>
      </c>
      <c r="D9" s="13" t="n">
        <v>1</v>
      </c>
      <c r="E9" s="13" t="n">
        <v>0.9</v>
      </c>
      <c r="F9" s="13" t="n">
        <v>0</v>
      </c>
      <c r="G9" s="8" t="n"/>
      <c r="H9" s="8" t="n"/>
    </row>
    <row r="10">
      <c r="A10" s="8" t="inlineStr">
        <is>
          <t>JOB-1181 — Part Time Guru Ekskul Board Game di sekolah sekitar Tangsel</t>
        </is>
      </c>
      <c r="B10" s="13" t="n">
        <v>1</v>
      </c>
      <c r="C10" s="13" t="n">
        <v>1.29</v>
      </c>
      <c r="D10" s="13" t="n">
        <v>0.8</v>
      </c>
      <c r="E10" s="13" t="n">
        <v>0.9</v>
      </c>
      <c r="F10" s="13" t="n">
        <v>0.06</v>
      </c>
      <c r="G10" s="8" t="n"/>
      <c r="H10" s="8" t="n"/>
    </row>
    <row r="11">
      <c r="A11" s="8" t="inlineStr">
        <is>
          <t>JOB-1067 — SAT Tutor</t>
        </is>
      </c>
      <c r="B11" s="13" t="n">
        <v>1</v>
      </c>
      <c r="C11" s="13" t="n">
        <v>1.29</v>
      </c>
      <c r="D11" s="13" t="n">
        <v>0.8</v>
      </c>
      <c r="E11" s="13" t="n">
        <v>0.9</v>
      </c>
      <c r="F11" s="13" t="n">
        <v>0</v>
      </c>
      <c r="G11" s="8" t="n"/>
      <c r="H11" s="8" t="n"/>
    </row>
    <row r="12">
      <c r="A12" s="8" t="inlineStr">
        <is>
          <t>JOB-1255 — Japanese Tutor / Pengajar Bahasa Jepang - Jakarta (Part Time)</t>
        </is>
      </c>
      <c r="B12" s="13" t="n">
        <v>1</v>
      </c>
      <c r="C12" s="13" t="n">
        <v>1.29</v>
      </c>
      <c r="D12" s="13" t="n">
        <v>0.8</v>
      </c>
      <c r="E12" s="13" t="n">
        <v>0.9</v>
      </c>
      <c r="F12" s="13" t="n">
        <v>0</v>
      </c>
      <c r="G12" s="8" t="n"/>
      <c r="H12" s="8" t="n"/>
    </row>
    <row r="13">
      <c r="A13" s="8" t="inlineStr">
        <is>
          <t>JOB-1351 — Guru Mandarin HSK 5</t>
        </is>
      </c>
      <c r="B13" s="13" t="n">
        <v>1</v>
      </c>
      <c r="C13" s="13" t="n">
        <v>1.2</v>
      </c>
      <c r="D13" s="13" t="n">
        <v>1</v>
      </c>
      <c r="E13" s="13" t="n">
        <v>0.9</v>
      </c>
      <c r="F13" s="13" t="n">
        <v>0</v>
      </c>
      <c r="G13" s="8" t="n"/>
      <c r="H13" s="8" t="n"/>
    </row>
    <row r="14">
      <c r="A14" s="8" t="inlineStr">
        <is>
          <t>JOB-1403 — Barista</t>
        </is>
      </c>
      <c r="B14" s="13" t="n">
        <v>0.3</v>
      </c>
      <c r="C14" s="13" t="n">
        <v>1.29</v>
      </c>
      <c r="D14" s="13" t="n">
        <v>0.8</v>
      </c>
      <c r="E14" s="13" t="n">
        <v>1</v>
      </c>
      <c r="F14" s="13" t="n">
        <v>0</v>
      </c>
      <c r="G14" s="8" t="n"/>
      <c r="H14" s="8" t="n"/>
    </row>
    <row r="15">
      <c r="A15" s="8" t="inlineStr">
        <is>
          <t>JOB-1302 — Penjaga Stand/Booth</t>
        </is>
      </c>
      <c r="B15" s="13" t="n">
        <v>0.3</v>
      </c>
      <c r="C15" s="13" t="n">
        <v>1.2</v>
      </c>
      <c r="D15" s="13" t="n">
        <v>1</v>
      </c>
      <c r="E15" s="13" t="n">
        <v>1</v>
      </c>
      <c r="F15" s="13" t="n">
        <v>0</v>
      </c>
      <c r="G15" s="8" t="n"/>
      <c r="H15" s="8" t="n"/>
    </row>
    <row r="16">
      <c r="A16" s="14" t="inlineStr">
        <is>
          <t>MAX</t>
        </is>
      </c>
      <c r="B16" s="15">
        <f>MAX(B6:B15)</f>
        <v/>
      </c>
      <c r="C16" s="15">
        <f>MAX(C6:C15)</f>
        <v/>
      </c>
      <c r="D16" s="15">
        <f>MAX(D6:D15)</f>
        <v/>
      </c>
      <c r="E16" s="15">
        <f>MAX(E6:E15)</f>
        <v/>
      </c>
      <c r="F16" s="15">
        <f>MAX(F6:F15)</f>
        <v/>
      </c>
      <c r="G16" s="8" t="n"/>
      <c r="H16" s="8" t="n"/>
    </row>
    <row r="17">
      <c r="A17" s="16" t="inlineStr">
        <is>
          <t>MIN</t>
        </is>
      </c>
      <c r="B17" s="17">
        <f>MIN(B6:B15)</f>
        <v/>
      </c>
      <c r="C17" s="17">
        <f>MIN(C6:C15)</f>
        <v/>
      </c>
      <c r="D17" s="17">
        <f>MIN(D6:D15)</f>
        <v/>
      </c>
      <c r="E17" s="17">
        <f>MIN(E6:E15)</f>
        <v/>
      </c>
      <c r="F17" s="17">
        <f>MIN(F6:F15)</f>
        <v/>
      </c>
      <c r="G17" s="8" t="n"/>
      <c r="H17" s="8" t="n"/>
    </row>
    <row r="18">
      <c r="A18" s="3" t="inlineStr">
        <is>
          <t>Utility</t>
        </is>
      </c>
      <c r="B18" s="8" t="n"/>
      <c r="C18" s="8" t="n"/>
      <c r="D18" s="8" t="n"/>
      <c r="E18" s="8" t="n"/>
      <c r="F18" s="8" t="n"/>
      <c r="G18" s="3" t="inlineStr">
        <is>
          <t>Nilai SMARTER</t>
        </is>
      </c>
      <c r="H18" s="3" t="inlineStr">
        <is>
          <t>Ranking</t>
        </is>
      </c>
      <c r="I18" s="3" t="inlineStr">
        <is>
          <t>Alternatif (lookup)</t>
        </is>
      </c>
      <c r="J18" s="3" t="inlineStr">
        <is>
          <t>Nilai (lookup)</t>
        </is>
      </c>
    </row>
    <row r="19">
      <c r="A19" s="8">
        <f>A6</f>
        <v/>
      </c>
      <c r="B19" s="13">
        <f>(B6-$B$17)/($B$16-$B$17)</f>
        <v/>
      </c>
      <c r="C19" s="13">
        <f>(C6-$C$17)/($C$16-$C$17)</f>
        <v/>
      </c>
      <c r="D19" s="13">
        <f>(D6-$D$17)/($D$16-$D$17)</f>
        <v/>
      </c>
      <c r="E19" s="13">
        <f>(E6-$E$17)/($E$16-$E$17)</f>
        <v/>
      </c>
      <c r="F19" s="13">
        <f>(F6-$F$17)/($F$16-$F$17)</f>
        <v/>
      </c>
      <c r="G19" s="13">
        <f>(B19*$B$5)+(C19*$C$5)+(D19*$D$5)+(E19*$E$5)+(F19*$F$5)</f>
        <v/>
      </c>
      <c r="H19" s="8">
        <f>RANK(G19,$G$19:$G$28)</f>
        <v/>
      </c>
      <c r="I19" s="8">
        <f>A19</f>
        <v/>
      </c>
      <c r="J19" s="13">
        <f>G19</f>
        <v/>
      </c>
    </row>
    <row r="20">
      <c r="A20" s="8">
        <f>A7</f>
        <v/>
      </c>
      <c r="B20" s="13">
        <f>(B7-$B$17)/($B$16-$B$17)</f>
        <v/>
      </c>
      <c r="C20" s="13">
        <f>(C7-$C$17)/($C$16-$C$17)</f>
        <v/>
      </c>
      <c r="D20" s="13">
        <f>(D7-$D$17)/($D$16-$D$17)</f>
        <v/>
      </c>
      <c r="E20" s="13">
        <f>(E7-$E$17)/($E$16-$E$17)</f>
        <v/>
      </c>
      <c r="F20" s="13">
        <f>(F7-$F$17)/($F$16-$F$17)</f>
        <v/>
      </c>
      <c r="G20" s="13">
        <f>(B20*$B$5)+(C20*$C$5)+(D20*$D$5)+(E20*$E$5)+(F20*$F$5)</f>
        <v/>
      </c>
      <c r="H20" s="8">
        <f>RANK(G20,$G$19:$G$28)</f>
        <v/>
      </c>
      <c r="I20" s="8">
        <f>A20</f>
        <v/>
      </c>
      <c r="J20" s="13">
        <f>G20</f>
        <v/>
      </c>
    </row>
    <row r="21">
      <c r="A21" s="8">
        <f>A8</f>
        <v/>
      </c>
      <c r="B21" s="13">
        <f>(B8-$B$17)/($B$16-$B$17)</f>
        <v/>
      </c>
      <c r="C21" s="13">
        <f>(C8-$C$17)/($C$16-$C$17)</f>
        <v/>
      </c>
      <c r="D21" s="13">
        <f>(D8-$D$17)/($D$16-$D$17)</f>
        <v/>
      </c>
      <c r="E21" s="13">
        <f>(E8-$E$17)/($E$16-$E$17)</f>
        <v/>
      </c>
      <c r="F21" s="13">
        <f>(F8-$F$17)/($F$16-$F$17)</f>
        <v/>
      </c>
      <c r="G21" s="13">
        <f>(B21*$B$5)+(C21*$C$5)+(D21*$D$5)+(E21*$E$5)+(F21*$F$5)</f>
        <v/>
      </c>
      <c r="H21" s="8">
        <f>RANK(G21,$G$19:$G$28)</f>
        <v/>
      </c>
      <c r="I21" s="8">
        <f>A21</f>
        <v/>
      </c>
      <c r="J21" s="13">
        <f>G21</f>
        <v/>
      </c>
    </row>
    <row r="22">
      <c r="A22" s="8">
        <f>A9</f>
        <v/>
      </c>
      <c r="B22" s="13">
        <f>(B9-$B$17)/($B$16-$B$17)</f>
        <v/>
      </c>
      <c r="C22" s="13">
        <f>(C9-$C$17)/($C$16-$C$17)</f>
        <v/>
      </c>
      <c r="D22" s="13">
        <f>(D9-$D$17)/($D$16-$D$17)</f>
        <v/>
      </c>
      <c r="E22" s="13">
        <f>(E9-$E$17)/($E$16-$E$17)</f>
        <v/>
      </c>
      <c r="F22" s="13">
        <f>(F9-$F$17)/($F$16-$F$17)</f>
        <v/>
      </c>
      <c r="G22" s="13">
        <f>(B22*$B$5)+(C22*$C$5)+(D22*$D$5)+(E22*$E$5)+(F22*$F$5)</f>
        <v/>
      </c>
      <c r="H22" s="8">
        <f>RANK(G22,$G$19:$G$28)</f>
        <v/>
      </c>
      <c r="I22" s="8">
        <f>A22</f>
        <v/>
      </c>
      <c r="J22" s="13">
        <f>G22</f>
        <v/>
      </c>
    </row>
    <row r="23">
      <c r="A23" s="8">
        <f>A10</f>
        <v/>
      </c>
      <c r="B23" s="13">
        <f>(B10-$B$17)/($B$16-$B$17)</f>
        <v/>
      </c>
      <c r="C23" s="13">
        <f>(C10-$C$17)/($C$16-$C$17)</f>
        <v/>
      </c>
      <c r="D23" s="13">
        <f>(D10-$D$17)/($D$16-$D$17)</f>
        <v/>
      </c>
      <c r="E23" s="13">
        <f>(E10-$E$17)/($E$16-$E$17)</f>
        <v/>
      </c>
      <c r="F23" s="13">
        <f>(F10-$F$17)/($F$16-$F$17)</f>
        <v/>
      </c>
      <c r="G23" s="13">
        <f>(B23*$B$5)+(C23*$C$5)+(D23*$D$5)+(E23*$E$5)+(F23*$F$5)</f>
        <v/>
      </c>
      <c r="H23" s="8">
        <f>RANK(G23,$G$19:$G$28)</f>
        <v/>
      </c>
      <c r="I23" s="8">
        <f>A23</f>
        <v/>
      </c>
      <c r="J23" s="13">
        <f>G23</f>
        <v/>
      </c>
    </row>
    <row r="24">
      <c r="A24" s="8">
        <f>A11</f>
        <v/>
      </c>
      <c r="B24" s="13">
        <f>(B11-$B$17)/($B$16-$B$17)</f>
        <v/>
      </c>
      <c r="C24" s="13">
        <f>(C11-$C$17)/($C$16-$C$17)</f>
        <v/>
      </c>
      <c r="D24" s="13">
        <f>(D11-$D$17)/($D$16-$D$17)</f>
        <v/>
      </c>
      <c r="E24" s="13">
        <f>(E11-$E$17)/($E$16-$E$17)</f>
        <v/>
      </c>
      <c r="F24" s="13">
        <f>(F11-$F$17)/($F$16-$F$17)</f>
        <v/>
      </c>
      <c r="G24" s="13">
        <f>(B24*$B$5)+(C24*$C$5)+(D24*$D$5)+(E24*$E$5)+(F24*$F$5)</f>
        <v/>
      </c>
      <c r="H24" s="8">
        <f>RANK(G24,$G$19:$G$28)</f>
        <v/>
      </c>
      <c r="I24" s="8">
        <f>A24</f>
        <v/>
      </c>
      <c r="J24" s="13">
        <f>G24</f>
        <v/>
      </c>
    </row>
    <row r="25">
      <c r="A25" s="8">
        <f>A12</f>
        <v/>
      </c>
      <c r="B25" s="13">
        <f>(B12-$B$17)/($B$16-$B$17)</f>
        <v/>
      </c>
      <c r="C25" s="13">
        <f>(C12-$C$17)/($C$16-$C$17)</f>
        <v/>
      </c>
      <c r="D25" s="13">
        <f>(D12-$D$17)/($D$16-$D$17)</f>
        <v/>
      </c>
      <c r="E25" s="13">
        <f>(E12-$E$17)/($E$16-$E$17)</f>
        <v/>
      </c>
      <c r="F25" s="13">
        <f>(F12-$F$17)/($F$16-$F$17)</f>
        <v/>
      </c>
      <c r="G25" s="13">
        <f>(B25*$B$5)+(C25*$C$5)+(D25*$D$5)+(E25*$E$5)+(F25*$F$5)</f>
        <v/>
      </c>
      <c r="H25" s="8">
        <f>RANK(G25,$G$19:$G$28)</f>
        <v/>
      </c>
      <c r="I25" s="8">
        <f>A25</f>
        <v/>
      </c>
      <c r="J25" s="13">
        <f>G25</f>
        <v/>
      </c>
    </row>
    <row r="26">
      <c r="A26" s="8">
        <f>A13</f>
        <v/>
      </c>
      <c r="B26" s="13">
        <f>(B13-$B$17)/($B$16-$B$17)</f>
        <v/>
      </c>
      <c r="C26" s="13">
        <f>(C13-$C$17)/($C$16-$C$17)</f>
        <v/>
      </c>
      <c r="D26" s="13">
        <f>(D13-$D$17)/($D$16-$D$17)</f>
        <v/>
      </c>
      <c r="E26" s="13">
        <f>(E13-$E$17)/($E$16-$E$17)</f>
        <v/>
      </c>
      <c r="F26" s="13">
        <f>(F13-$F$17)/($F$16-$F$17)</f>
        <v/>
      </c>
      <c r="G26" s="13">
        <f>(B26*$B$5)+(C26*$C$5)+(D26*$D$5)+(E26*$E$5)+(F26*$F$5)</f>
        <v/>
      </c>
      <c r="H26" s="8">
        <f>RANK(G26,$G$19:$G$28)</f>
        <v/>
      </c>
      <c r="I26" s="8">
        <f>A26</f>
        <v/>
      </c>
      <c r="J26" s="13">
        <f>G26</f>
        <v/>
      </c>
    </row>
    <row r="27">
      <c r="A27" s="8">
        <f>A14</f>
        <v/>
      </c>
      <c r="B27" s="13">
        <f>(B14-$B$17)/($B$16-$B$17)</f>
        <v/>
      </c>
      <c r="C27" s="13">
        <f>(C14-$C$17)/($C$16-$C$17)</f>
        <v/>
      </c>
      <c r="D27" s="13">
        <f>(D14-$D$17)/($D$16-$D$17)</f>
        <v/>
      </c>
      <c r="E27" s="13">
        <f>(E14-$E$17)/($E$16-$E$17)</f>
        <v/>
      </c>
      <c r="F27" s="13">
        <f>(F14-$F$17)/($F$16-$F$17)</f>
        <v/>
      </c>
      <c r="G27" s="13">
        <f>(B27*$B$5)+(C27*$C$5)+(D27*$D$5)+(E27*$E$5)+(F27*$F$5)</f>
        <v/>
      </c>
      <c r="H27" s="8">
        <f>RANK(G27,$G$19:$G$28)</f>
        <v/>
      </c>
      <c r="I27" s="8">
        <f>A27</f>
        <v/>
      </c>
      <c r="J27" s="13">
        <f>G27</f>
        <v/>
      </c>
    </row>
    <row r="28">
      <c r="A28" s="8">
        <f>A15</f>
        <v/>
      </c>
      <c r="B28" s="13">
        <f>(B15-$B$17)/($B$16-$B$17)</f>
        <v/>
      </c>
      <c r="C28" s="13">
        <f>(C15-$C$17)/($C$16-$C$17)</f>
        <v/>
      </c>
      <c r="D28" s="13">
        <f>(D15-$D$17)/($D$16-$D$17)</f>
        <v/>
      </c>
      <c r="E28" s="13">
        <f>(E15-$E$17)/($E$16-$E$17)</f>
        <v/>
      </c>
      <c r="F28" s="13">
        <f>(F15-$F$17)/($F$16-$F$17)</f>
        <v/>
      </c>
      <c r="G28" s="13">
        <f>(B28*$B$5)+(C28*$C$5)+(D28*$D$5)+(E28*$E$5)+(F28*$F$5)</f>
        <v/>
      </c>
      <c r="H28" s="8">
        <f>RANK(G28,$G$19:$G$28)</f>
        <v/>
      </c>
      <c r="I28" s="8">
        <f>A28</f>
        <v/>
      </c>
      <c r="J28" s="13">
        <f>G28</f>
        <v/>
      </c>
    </row>
    <row r="29">
      <c r="B29" s="18" t="inlineStr">
        <is>
          <t>X-min / max-min</t>
        </is>
      </c>
      <c r="C29" s="18" t="inlineStr">
        <is>
          <t>X-min / max-min</t>
        </is>
      </c>
      <c r="D29" s="18" t="inlineStr">
        <is>
          <t>X-min / max-min</t>
        </is>
      </c>
      <c r="E29" s="18" t="inlineStr">
        <is>
          <t>X-min / max-min</t>
        </is>
      </c>
      <c r="F29" s="18" t="inlineStr">
        <is>
          <t>X-min / max-min</t>
        </is>
      </c>
      <c r="G29" s="18" t="inlineStr">
        <is>
          <t>w*utility</t>
        </is>
      </c>
      <c r="H29" s="18" t="inlineStr">
        <is>
          <t>RANK</t>
        </is>
      </c>
    </row>
    <row r="31" ht="30" customHeight="1">
      <c r="A31" s="10" t="inlineStr">
        <is>
          <t>KESIMPULAN: Alternatif terbaik adalah JOB-1174 — Scholastic Assessment Test, karena memiliki Nilai SMARTER tertinggi yaitu 0.87 (Ranking 1)</t>
        </is>
      </c>
    </row>
    <row r="33">
      <c r="A33" s="18" t="inlineStr">
        <is>
          <t>Rumus BENEFIT -&gt; (X - min) / (max - min)   |   Contoh B19: =(B6-$B$17)/($B$16-$B$17)</t>
        </is>
      </c>
    </row>
    <row r="34">
      <c r="A34" s="18" t="inlineStr">
        <is>
          <t>Rumus BOBOT ROC -&gt; w = (1/K) x SUM(1/k), K=5  |  Contoh rank-1 (C2): =(1/1+1/2+1/3+1/4+1/5)/5 = 45,67%</t>
        </is>
      </c>
    </row>
    <row r="35">
      <c r="A35" s="18" t="inlineStr">
        <is>
          <t>Rumus Nilai SMARTER -&gt; (u1*$B$5)+(u2*$C$5)+(u3*$D$5)+(u4*$E$5)+(u5*$F$5)  |  $ = kunci baris/kolom saat di-drag</t>
        </is>
      </c>
    </row>
    <row r="36">
      <c r="A36" s="18" t="inlineStr">
        <is>
          <t>Rumus RANK -&gt; =RANK(Nilai ; $rentang_nilai)  |  Contoh: =RANK(G19,$G$19:$G$28)</t>
        </is>
      </c>
    </row>
    <row r="37">
      <c r="A37" s="18" t="inlineStr">
        <is>
          <t>Rumus VLOOKUP -&gt; =VLOOKUP(rank_dicari ; $tabel_rank ; kolom ; FALSE)  |  Contoh: =VLOOKUP($M$4,$H$19:$J$28,2,FALSE)</t>
        </is>
      </c>
    </row>
    <row r="39">
      <c r="A39" s="6" t="inlineStr">
        <is>
          <t>PROFIL MAHASISWA EVALUATOR (parameter perhitungan C1–C5 — ubah sesuai mahasiswa yang dinilai)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5" t="n"/>
    </row>
    <row r="40">
      <c r="A40" s="3" t="inlineStr">
        <is>
          <t>Atribut</t>
        </is>
      </c>
      <c r="B40" s="3" t="inlineStr">
        <is>
          <t>Nilai</t>
        </is>
      </c>
      <c r="C40" s="19" t="n"/>
      <c r="D40" s="19" t="n"/>
      <c r="E40" s="19" t="n"/>
      <c r="F40" s="5" t="n"/>
      <c r="G40" s="3" t="inlineStr">
        <is>
          <t>Dipakai untuk</t>
        </is>
      </c>
      <c r="H40" s="19" t="n"/>
      <c r="I40" s="19" t="n"/>
      <c r="J40" s="5" t="n"/>
    </row>
    <row r="41">
      <c r="A41" s="20" t="inlineStr">
        <is>
          <t>Student ID / Nama</t>
        </is>
      </c>
      <c r="B41" s="9" t="inlineStr">
        <is>
          <t>MHS-101 — David Santoso</t>
        </is>
      </c>
      <c r="C41" s="19" t="n"/>
      <c r="D41" s="19" t="n"/>
      <c r="E41" s="19" t="n"/>
      <c r="F41" s="5" t="n"/>
      <c r="G41" s="9" t="inlineStr">
        <is>
          <t>Identitas evaluator (1 mhs sampel)</t>
        </is>
      </c>
      <c r="H41" s="19" t="n"/>
      <c r="I41" s="19" t="n"/>
      <c r="J41" s="5" t="n"/>
    </row>
    <row r="42">
      <c r="A42" s="20" t="inlineStr">
        <is>
          <t>Minat kategori</t>
        </is>
      </c>
      <c r="B42" s="9" t="inlineStr">
        <is>
          <t>Education &amp; Tutoring</t>
        </is>
      </c>
      <c r="C42" s="19" t="n"/>
      <c r="D42" s="19" t="n"/>
      <c r="E42" s="19" t="n"/>
      <c r="F42" s="5" t="n"/>
      <c r="G42" s="9" t="inlineStr">
        <is>
          <t>C1: 1,0 jika job_category sama, 0,3 jika beda</t>
        </is>
      </c>
      <c r="H42" s="19" t="n"/>
      <c r="I42" s="19" t="n"/>
      <c r="J42" s="5" t="n"/>
    </row>
    <row r="43">
      <c r="A43" s="20" t="inlineStr">
        <is>
          <t>Gaji minimum (Rp/jam)</t>
        </is>
      </c>
      <c r="B43" s="9" t="n">
        <v>35000</v>
      </c>
      <c r="C43" s="19" t="n"/>
      <c r="D43" s="19" t="n"/>
      <c r="E43" s="19" t="n"/>
      <c r="F43" s="5" t="n"/>
      <c r="G43" s="9" t="inlineStr">
        <is>
          <t>C2: work_salaryperhour / nilai ini</t>
        </is>
      </c>
      <c r="H43" s="19" t="n"/>
      <c r="I43" s="19" t="n"/>
      <c r="J43" s="5" t="n"/>
    </row>
    <row r="44">
      <c r="A44" s="20" t="inlineStr">
        <is>
          <t>Domisili</t>
        </is>
      </c>
      <c r="B44" s="9" t="inlineStr">
        <is>
          <t>Jakarta Barat</t>
        </is>
      </c>
      <c r="C44" s="19" t="n"/>
      <c r="D44" s="19" t="n"/>
      <c r="E44" s="19" t="n"/>
      <c r="F44" s="5" t="n"/>
      <c r="G44" s="9" t="inlineStr">
        <is>
          <t>C3: 1,0 Remote/se-wilayah; 0,8 sesama Jakarta; 0,4 lain</t>
        </is>
      </c>
      <c r="H44" s="19" t="n"/>
      <c r="I44" s="19" t="n"/>
      <c r="J44" s="5" t="n"/>
    </row>
    <row r="45">
      <c r="A45" s="20" t="inlineStr">
        <is>
          <t>Jam ideal (jam/minggu)</t>
        </is>
      </c>
      <c r="B45" s="9" t="n">
        <v>18</v>
      </c>
      <c r="C45" s="19" t="n"/>
      <c r="D45" s="19" t="n"/>
      <c r="E45" s="19" t="n"/>
      <c r="F45" s="5" t="n"/>
      <c r="G45" s="9" t="inlineStr">
        <is>
          <t>C4: 1 − |work_hours − nilai ini|/20</t>
        </is>
      </c>
      <c r="H45" s="19" t="n"/>
      <c r="I45" s="19" t="n"/>
      <c r="J45" s="5" t="n"/>
    </row>
    <row r="46">
      <c r="A46" s="20" t="inlineStr">
        <is>
          <t>Skill</t>
        </is>
      </c>
      <c r="B46" s="9" t="inlineStr">
        <is>
          <t>hospitality, espresso machine, manual brew, kebersihan bar, pelayanan ramah</t>
        </is>
      </c>
      <c r="C46" s="19" t="n"/>
      <c r="D46" s="19" t="n"/>
      <c r="E46" s="19" t="n"/>
      <c r="F46" s="5" t="n"/>
      <c r="G46" s="9" t="inlineStr">
        <is>
          <t>C5: Cosine(V_mhs, V_low) via TF-IDF</t>
        </is>
      </c>
      <c r="H46" s="19" t="n"/>
      <c r="I46" s="19" t="n"/>
      <c r="J46" s="5" t="n"/>
    </row>
    <row r="47">
      <c r="A47" s="21" t="inlineStr">
        <is>
          <t>Contoh telusur: C2 JOB-1174 = 50000/35000 = 1,43 (gaji JOB-1174 dibagi gaji minimum profil di atas).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5" t="n"/>
    </row>
  </sheetData>
  <mergeCells count="20">
    <mergeCell ref="A47:J47"/>
    <mergeCell ref="B46:F46"/>
    <mergeCell ref="A1:H1"/>
    <mergeCell ref="G41:J41"/>
    <mergeCell ref="G44:J44"/>
    <mergeCell ref="L3:M3"/>
    <mergeCell ref="B43:F43"/>
    <mergeCell ref="G40:J40"/>
    <mergeCell ref="G46:J46"/>
    <mergeCell ref="A31:J31"/>
    <mergeCell ref="B42:F42"/>
    <mergeCell ref="G43:J43"/>
    <mergeCell ref="A39:J39"/>
    <mergeCell ref="G42:J42"/>
    <mergeCell ref="B44:F44"/>
    <mergeCell ref="A2:H2"/>
    <mergeCell ref="B40:F40"/>
    <mergeCell ref="B45:F45"/>
    <mergeCell ref="B41:F41"/>
    <mergeCell ref="G45:J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4" customWidth="1" min="4" max="4"/>
    <col width="14" customWidth="1" min="5" max="5"/>
    <col width="13" customWidth="1" min="6" max="6"/>
    <col width="15" customWidth="1" min="7" max="7"/>
    <col width="12" customWidth="1" min="8" max="8"/>
  </cols>
  <sheetData>
    <row r="1">
      <c r="A1" s="22" t="inlineStr">
        <is>
          <t>MATRIKS LENGKAP 221 ALTERNATIF (arsip — perhitungan sama spt sheet SMARTER)</t>
        </is>
      </c>
    </row>
    <row r="3">
      <c r="A3" s="3" t="inlineStr">
        <is>
          <t>Alternatif (Lowongan)</t>
        </is>
      </c>
      <c r="B3" s="3" t="inlineStr">
        <is>
          <t>C1 Kategori</t>
        </is>
      </c>
      <c r="C3" s="3" t="inlineStr">
        <is>
          <t>C2 Rasio Gaji</t>
        </is>
      </c>
      <c r="D3" s="3" t="inlineStr">
        <is>
          <t>C3 Lokasi</t>
        </is>
      </c>
      <c r="E3" s="3" t="inlineStr">
        <is>
          <t>C4 Jam Kerja</t>
        </is>
      </c>
      <c r="F3" s="3" t="inlineStr">
        <is>
          <t>C5 Skill</t>
        </is>
      </c>
      <c r="G3" s="3" t="n"/>
      <c r="H3" s="3" t="n"/>
    </row>
    <row r="4">
      <c r="A4" s="6" t="n"/>
      <c r="B4" s="7" t="inlineStr">
        <is>
          <t>Benefit</t>
        </is>
      </c>
      <c r="C4" s="7" t="inlineStr">
        <is>
          <t>Benefit</t>
        </is>
      </c>
      <c r="D4" s="7" t="inlineStr">
        <is>
          <t>Benefit</t>
        </is>
      </c>
      <c r="E4" s="7" t="inlineStr">
        <is>
          <t>Benefit</t>
        </is>
      </c>
      <c r="F4" s="7" t="inlineStr">
        <is>
          <t>Benefit</t>
        </is>
      </c>
      <c r="G4" s="8" t="n"/>
      <c r="H4" s="8" t="n"/>
    </row>
    <row r="5">
      <c r="A5" s="11" t="inlineStr">
        <is>
          <t>Bobot</t>
        </is>
      </c>
      <c r="B5" s="12">
        <f>(1/4+1/5)/5</f>
        <v/>
      </c>
      <c r="C5" s="12">
        <f>(1/1+1/2+1/3+1/4+1/5)/5</f>
        <v/>
      </c>
      <c r="D5" s="12">
        <f>(1/3+1/4+1/5)/5</f>
        <v/>
      </c>
      <c r="E5" s="12">
        <f>(1/2+1/3+1/4+1/5)/5</f>
        <v/>
      </c>
      <c r="F5" s="12">
        <f>(1/5)/5</f>
        <v/>
      </c>
      <c r="G5" s="8" t="n"/>
      <c r="H5" s="8" t="n"/>
    </row>
    <row r="6">
      <c r="A6" s="9" t="inlineStr">
        <is>
          <t>JOB-1118 — Guru ekonomi akuntansi</t>
        </is>
      </c>
      <c r="B6" s="13" t="n">
        <v>1</v>
      </c>
      <c r="C6" s="13" t="n">
        <v>1</v>
      </c>
      <c r="D6" s="13" t="n">
        <v>0.4</v>
      </c>
      <c r="E6" s="13" t="n">
        <v>1</v>
      </c>
      <c r="F6" s="13" t="n">
        <v>0.06</v>
      </c>
      <c r="G6" s="8" t="n"/>
      <c r="H6" s="8" t="n"/>
    </row>
    <row r="7">
      <c r="A7" s="9" t="inlineStr">
        <is>
          <t>JOB-1155 — Crew outlet</t>
        </is>
      </c>
      <c r="B7" s="13" t="n">
        <v>0.3</v>
      </c>
      <c r="C7" s="13" t="n">
        <v>1.29</v>
      </c>
      <c r="D7" s="13" t="n">
        <v>0.4</v>
      </c>
      <c r="E7" s="13" t="n">
        <v>0.7</v>
      </c>
      <c r="F7" s="13" t="n">
        <v>0.15</v>
      </c>
      <c r="G7" s="8" t="n"/>
      <c r="H7" s="8" t="n"/>
    </row>
    <row r="8">
      <c r="A8" s="9" t="inlineStr">
        <is>
          <t>JOB-1246 — Kurir Last-Mile</t>
        </is>
      </c>
      <c r="B8" s="13" t="n">
        <v>0.3</v>
      </c>
      <c r="C8" s="13" t="n">
        <v>0.8</v>
      </c>
      <c r="D8" s="13" t="n">
        <v>0.4</v>
      </c>
      <c r="E8" s="13" t="n">
        <v>0.7</v>
      </c>
      <c r="F8" s="13" t="n">
        <v>0</v>
      </c>
      <c r="G8" s="8" t="n"/>
      <c r="H8" s="8" t="n"/>
    </row>
    <row r="9">
      <c r="A9" s="9" t="inlineStr">
        <is>
          <t>JOB-1085 — Crew Store Bagi Kopi Ciputat Juanda</t>
        </is>
      </c>
      <c r="B9" s="13" t="n">
        <v>0.3</v>
      </c>
      <c r="C9" s="13" t="n">
        <v>0.8</v>
      </c>
      <c r="D9" s="13" t="n">
        <v>0.4</v>
      </c>
      <c r="E9" s="13" t="n">
        <v>1</v>
      </c>
      <c r="F9" s="13" t="n">
        <v>0.05</v>
      </c>
      <c r="G9" s="8" t="n"/>
      <c r="H9" s="8" t="n"/>
    </row>
    <row r="10">
      <c r="A10" s="9" t="inlineStr">
        <is>
          <t>JOB-1007 — Surveyor</t>
        </is>
      </c>
      <c r="B10" s="13" t="n">
        <v>0.3</v>
      </c>
      <c r="C10" s="13" t="n">
        <v>1.14</v>
      </c>
      <c r="D10" s="13" t="n">
        <v>1</v>
      </c>
      <c r="E10" s="13" t="n">
        <v>0.8</v>
      </c>
      <c r="F10" s="13" t="n">
        <v>0</v>
      </c>
      <c r="G10" s="8" t="n"/>
      <c r="H10" s="8" t="n"/>
    </row>
    <row r="11">
      <c r="A11" s="9" t="inlineStr">
        <is>
          <t>JOB-1056 — Customer Service Attendence Playground anak Klender</t>
        </is>
      </c>
      <c r="B11" s="13" t="n">
        <v>0.3</v>
      </c>
      <c r="C11" s="13" t="n">
        <v>1.14</v>
      </c>
      <c r="D11" s="13" t="n">
        <v>0.8</v>
      </c>
      <c r="E11" s="13" t="n">
        <v>0.8</v>
      </c>
      <c r="F11" s="13" t="n">
        <v>0.04</v>
      </c>
      <c r="G11" s="8" t="n"/>
      <c r="H11" s="8" t="n"/>
    </row>
    <row r="12">
      <c r="A12" s="9" t="inlineStr">
        <is>
          <t>JOB-1238 — Customer Experience &amp; Complaint Resolution Staff (F&amp;B)</t>
        </is>
      </c>
      <c r="B12" s="13" t="n">
        <v>0.3</v>
      </c>
      <c r="C12" s="13" t="n">
        <v>0.8</v>
      </c>
      <c r="D12" s="13" t="n">
        <v>0.4</v>
      </c>
      <c r="E12" s="13" t="n">
        <v>0.8</v>
      </c>
      <c r="F12" s="13" t="n">
        <v>0.05</v>
      </c>
      <c r="G12" s="8" t="n"/>
      <c r="H12" s="8" t="n"/>
    </row>
    <row r="13">
      <c r="A13" s="9" t="inlineStr">
        <is>
          <t>JOB-1358 — Mobile Coffee Shop</t>
        </is>
      </c>
      <c r="B13" s="13" t="n">
        <v>0.3</v>
      </c>
      <c r="C13" s="13" t="n">
        <v>1.09</v>
      </c>
      <c r="D13" s="13" t="n">
        <v>0.4</v>
      </c>
      <c r="E13" s="13" t="n">
        <v>1</v>
      </c>
      <c r="F13" s="13" t="n">
        <v>1</v>
      </c>
      <c r="G13" s="8" t="n"/>
      <c r="H13" s="8" t="n"/>
    </row>
    <row r="14">
      <c r="A14" s="9" t="inlineStr">
        <is>
          <t>JOB-1011 — Staff Admin Marketing</t>
        </is>
      </c>
      <c r="B14" s="13" t="n">
        <v>0.3</v>
      </c>
      <c r="C14" s="13" t="n">
        <v>0.86</v>
      </c>
      <c r="D14" s="13" t="n">
        <v>0.4</v>
      </c>
      <c r="E14" s="13" t="n">
        <v>0.9</v>
      </c>
      <c r="F14" s="13" t="n">
        <v>0</v>
      </c>
      <c r="G14" s="8" t="n"/>
      <c r="H14" s="8" t="n"/>
    </row>
    <row r="15">
      <c r="A15" s="9" t="inlineStr">
        <is>
          <t>JOB-1186 — Tutor</t>
        </is>
      </c>
      <c r="B15" s="13" t="n">
        <v>1</v>
      </c>
      <c r="C15" s="13" t="n">
        <v>1</v>
      </c>
      <c r="D15" s="13" t="n">
        <v>0.4</v>
      </c>
      <c r="E15" s="13" t="n">
        <v>0.9</v>
      </c>
      <c r="F15" s="13" t="n">
        <v>0.06</v>
      </c>
      <c r="G15" s="8" t="n"/>
      <c r="H15" s="8" t="n"/>
    </row>
    <row r="16">
      <c r="A16" s="9" t="inlineStr">
        <is>
          <t>JOB-1196 — Guru Bahasa Inggris Online - Part Time</t>
        </is>
      </c>
      <c r="B16" s="13" t="n">
        <v>1</v>
      </c>
      <c r="C16" s="13" t="n">
        <v>1.09</v>
      </c>
      <c r="D16" s="13" t="n">
        <v>1</v>
      </c>
      <c r="E16" s="13" t="n">
        <v>0.8</v>
      </c>
      <c r="F16" s="13" t="n">
        <v>0</v>
      </c>
      <c r="G16" s="8" t="n"/>
      <c r="H16" s="8" t="n"/>
    </row>
    <row r="17">
      <c r="A17" s="9" t="inlineStr">
        <is>
          <t>JOB-1353 — Crew Outlet</t>
        </is>
      </c>
      <c r="B17" s="13" t="n">
        <v>0.3</v>
      </c>
      <c r="C17" s="13" t="n">
        <v>1</v>
      </c>
      <c r="D17" s="13" t="n">
        <v>1</v>
      </c>
      <c r="E17" s="13" t="n">
        <v>0.9</v>
      </c>
      <c r="F17" s="13" t="n">
        <v>0.04</v>
      </c>
      <c r="G17" s="8" t="n"/>
      <c r="H17" s="8" t="n"/>
    </row>
    <row r="18">
      <c r="A18" s="9" t="inlineStr">
        <is>
          <t>JOB-1159 — Live streaming</t>
        </is>
      </c>
      <c r="B18" s="13" t="n">
        <v>0.3</v>
      </c>
      <c r="C18" s="13" t="n">
        <v>0.8</v>
      </c>
      <c r="D18" s="13" t="n">
        <v>0.4</v>
      </c>
      <c r="E18" s="13" t="n">
        <v>0.8</v>
      </c>
      <c r="F18" s="13" t="n">
        <v>0</v>
      </c>
      <c r="G18" s="8" t="n"/>
      <c r="H18" s="8" t="n"/>
    </row>
    <row r="19">
      <c r="A19" s="9" t="inlineStr">
        <is>
          <t>JOB-1087 — Trainer Part Time</t>
        </is>
      </c>
      <c r="B19" s="13" t="n">
        <v>0.3</v>
      </c>
      <c r="C19" s="13" t="n">
        <v>0.86</v>
      </c>
      <c r="D19" s="13" t="n">
        <v>0.4</v>
      </c>
      <c r="E19" s="13" t="n">
        <v>0.9</v>
      </c>
      <c r="F19" s="13" t="n">
        <v>0</v>
      </c>
      <c r="G19" s="8" t="n"/>
      <c r="H19" s="8" t="n"/>
    </row>
    <row r="20">
      <c r="A20" s="9" t="inlineStr">
        <is>
          <t>JOB-1132 — Karyawan jaga store laundry sepatu</t>
        </is>
      </c>
      <c r="B20" s="13" t="n">
        <v>0.3</v>
      </c>
      <c r="C20" s="13" t="n">
        <v>1.29</v>
      </c>
      <c r="D20" s="13" t="n">
        <v>1</v>
      </c>
      <c r="E20" s="13" t="n">
        <v>0.8</v>
      </c>
      <c r="F20" s="13" t="n">
        <v>0</v>
      </c>
      <c r="G20" s="8" t="n"/>
      <c r="H20" s="8" t="n"/>
    </row>
    <row r="21">
      <c r="A21" s="9" t="inlineStr">
        <is>
          <t>JOB-1031 — Content Creator — Moms &amp; Baby WFH / HYBRID</t>
        </is>
      </c>
      <c r="B21" s="13" t="n">
        <v>0.3</v>
      </c>
      <c r="C21" s="13" t="n">
        <v>1.09</v>
      </c>
      <c r="D21" s="13" t="n">
        <v>0.4</v>
      </c>
      <c r="E21" s="13" t="n">
        <v>0.9</v>
      </c>
      <c r="F21" s="13" t="n">
        <v>0</v>
      </c>
      <c r="G21" s="8" t="n"/>
      <c r="H21" s="8" t="n"/>
    </row>
    <row r="22">
      <c r="A22" s="9" t="inlineStr">
        <is>
          <t>JOB-1076 — Content Creator Part Time</t>
        </is>
      </c>
      <c r="B22" s="13" t="n">
        <v>0.3</v>
      </c>
      <c r="C22" s="13" t="n">
        <v>1.09</v>
      </c>
      <c r="D22" s="13" t="n">
        <v>0.4</v>
      </c>
      <c r="E22" s="13" t="n">
        <v>1</v>
      </c>
      <c r="F22" s="13" t="n">
        <v>0</v>
      </c>
      <c r="G22" s="8" t="n"/>
      <c r="H22" s="8" t="n"/>
    </row>
    <row r="23">
      <c r="A23" s="9" t="inlineStr">
        <is>
          <t>JOB-1342 — Dosen DIII Fisioterapi</t>
        </is>
      </c>
      <c r="B23" s="13" t="n">
        <v>1</v>
      </c>
      <c r="C23" s="13" t="n">
        <v>1</v>
      </c>
      <c r="D23" s="13" t="n">
        <v>1</v>
      </c>
      <c r="E23" s="13" t="n">
        <v>0.9</v>
      </c>
      <c r="F23" s="13" t="n">
        <v>0</v>
      </c>
      <c r="G23" s="8" t="n"/>
      <c r="H23" s="8" t="n"/>
    </row>
    <row r="24">
      <c r="A24" s="9" t="inlineStr">
        <is>
          <t>JOB-1010 — Kurir Last-Mile</t>
        </is>
      </c>
      <c r="B24" s="13" t="n">
        <v>0.3</v>
      </c>
      <c r="C24" s="13" t="n">
        <v>0.97</v>
      </c>
      <c r="D24" s="13" t="n">
        <v>0.4</v>
      </c>
      <c r="E24" s="13" t="n">
        <v>0.7</v>
      </c>
      <c r="F24" s="13" t="n">
        <v>0</v>
      </c>
      <c r="G24" s="8" t="n"/>
      <c r="H24" s="8" t="n"/>
    </row>
    <row r="25">
      <c r="A25" s="9" t="inlineStr">
        <is>
          <t>JOB-1395 — Part Time Guru Robotik &amp; Coding CIbubur Kota Wisata</t>
        </is>
      </c>
      <c r="B25" s="13" t="n">
        <v>0.3</v>
      </c>
      <c r="C25" s="13" t="n">
        <v>1.29</v>
      </c>
      <c r="D25" s="13" t="n">
        <v>0.4</v>
      </c>
      <c r="E25" s="13" t="n">
        <v>0.9</v>
      </c>
      <c r="F25" s="13" t="n">
        <v>0</v>
      </c>
      <c r="G25" s="8" t="n"/>
      <c r="H25" s="8" t="n"/>
    </row>
    <row r="26">
      <c r="A26" s="9" t="inlineStr">
        <is>
          <t>JOB-1079 — Barista</t>
        </is>
      </c>
      <c r="B26" s="13" t="n">
        <v>0.3</v>
      </c>
      <c r="C26" s="13" t="n">
        <v>1</v>
      </c>
      <c r="D26" s="13" t="n">
        <v>0.4</v>
      </c>
      <c r="E26" s="13" t="n">
        <v>0.8</v>
      </c>
      <c r="F26" s="13" t="n">
        <v>0</v>
      </c>
      <c r="G26" s="8" t="n"/>
      <c r="H26" s="8" t="n"/>
    </row>
    <row r="27">
      <c r="A27" s="9" t="inlineStr">
        <is>
          <t>JOB-1071 — Coding Instructor – Part Time</t>
        </is>
      </c>
      <c r="B27" s="13" t="n">
        <v>0.3</v>
      </c>
      <c r="C27" s="13" t="n">
        <v>0.8</v>
      </c>
      <c r="D27" s="13" t="n">
        <v>0.8</v>
      </c>
      <c r="E27" s="13" t="n">
        <v>0.9</v>
      </c>
      <c r="F27" s="13" t="n">
        <v>0</v>
      </c>
      <c r="G27" s="8" t="n"/>
      <c r="H27" s="8" t="n"/>
    </row>
    <row r="28">
      <c r="A28" s="9" t="inlineStr">
        <is>
          <t>JOB-1205 — Barista</t>
        </is>
      </c>
      <c r="B28" s="13" t="n">
        <v>0.3</v>
      </c>
      <c r="C28" s="13" t="n">
        <v>1</v>
      </c>
      <c r="D28" s="13" t="n">
        <v>0.8</v>
      </c>
      <c r="E28" s="13" t="n">
        <v>1</v>
      </c>
      <c r="F28" s="13" t="n">
        <v>1</v>
      </c>
      <c r="G28" s="8" t="n"/>
      <c r="H28" s="8" t="n"/>
    </row>
    <row r="29">
      <c r="A29" s="9" t="inlineStr">
        <is>
          <t>JOB-1073 — [Part-time] - Pengajar Bahasa Inggris (IELTS) - Kab. Bogor</t>
        </is>
      </c>
      <c r="B29" s="13" t="n">
        <v>1</v>
      </c>
      <c r="C29" s="13" t="n">
        <v>0.71</v>
      </c>
      <c r="D29" s="13" t="n">
        <v>0.4</v>
      </c>
      <c r="E29" s="13" t="n">
        <v>0.7</v>
      </c>
      <c r="F29" s="13" t="n">
        <v>0.06</v>
      </c>
      <c r="G29" s="8" t="n"/>
      <c r="H29" s="8" t="n"/>
    </row>
    <row r="30">
      <c r="A30" s="9" t="inlineStr">
        <is>
          <t>JOB-1173 — Kurir J&amp;T Express - NTT</t>
        </is>
      </c>
      <c r="B30" s="13" t="n">
        <v>0.3</v>
      </c>
      <c r="C30" s="13" t="n">
        <v>1.29</v>
      </c>
      <c r="D30" s="13" t="n">
        <v>1</v>
      </c>
      <c r="E30" s="13" t="n">
        <v>0.7</v>
      </c>
      <c r="F30" s="13" t="n">
        <v>0</v>
      </c>
      <c r="G30" s="8" t="n"/>
      <c r="H30" s="8" t="n"/>
    </row>
    <row r="31">
      <c r="A31" s="9" t="inlineStr">
        <is>
          <t>JOB-1102 — [Part-time] Preschool Teacher - Depok - Margonda</t>
        </is>
      </c>
      <c r="B31" s="13" t="n">
        <v>1</v>
      </c>
      <c r="C31" s="13" t="n">
        <v>1.43</v>
      </c>
      <c r="D31" s="13" t="n">
        <v>0.4</v>
      </c>
      <c r="E31" s="13" t="n">
        <v>0.8</v>
      </c>
      <c r="F31" s="13" t="n">
        <v>0</v>
      </c>
      <c r="G31" s="8" t="n"/>
      <c r="H31" s="8" t="n"/>
    </row>
    <row r="32">
      <c r="A32" s="9" t="inlineStr">
        <is>
          <t>JOB-1141 — Tenaga Pengajar IT</t>
        </is>
      </c>
      <c r="B32" s="13" t="n">
        <v>1</v>
      </c>
      <c r="C32" s="13" t="n">
        <v>1</v>
      </c>
      <c r="D32" s="13" t="n">
        <v>0.8</v>
      </c>
      <c r="E32" s="13" t="n">
        <v>0.9</v>
      </c>
      <c r="F32" s="13" t="n">
        <v>0</v>
      </c>
      <c r="G32" s="8" t="n"/>
      <c r="H32" s="8" t="n"/>
    </row>
    <row r="33">
      <c r="A33" s="9" t="inlineStr">
        <is>
          <t>JOB-1235 — Host Live Online Shop</t>
        </is>
      </c>
      <c r="B33" s="13" t="n">
        <v>0.3</v>
      </c>
      <c r="C33" s="13" t="n">
        <v>1.09</v>
      </c>
      <c r="D33" s="13" t="n">
        <v>0.4</v>
      </c>
      <c r="E33" s="13" t="n">
        <v>0.8</v>
      </c>
      <c r="F33" s="13" t="n">
        <v>0</v>
      </c>
      <c r="G33" s="8" t="n"/>
      <c r="H33" s="8" t="n"/>
    </row>
    <row r="34">
      <c r="A34" s="9" t="inlineStr">
        <is>
          <t>JOB-1069 — Branch Sales Executive</t>
        </is>
      </c>
      <c r="B34" s="13" t="n">
        <v>1</v>
      </c>
      <c r="C34" s="13" t="n">
        <v>0.8</v>
      </c>
      <c r="D34" s="13" t="n">
        <v>0.8</v>
      </c>
      <c r="E34" s="13" t="n">
        <v>0.7</v>
      </c>
      <c r="F34" s="13" t="n">
        <v>0</v>
      </c>
      <c r="G34" s="8" t="n"/>
      <c r="H34" s="8" t="n"/>
    </row>
    <row r="35">
      <c r="A35" s="9" t="inlineStr">
        <is>
          <t>JOB-1091 — [Part-time] - Pengajar Bahasa Inggris - Jakarta Pusat</t>
        </is>
      </c>
      <c r="B35" s="13" t="n">
        <v>1</v>
      </c>
      <c r="C35" s="13" t="n">
        <v>1</v>
      </c>
      <c r="D35" s="13" t="n">
        <v>0.8</v>
      </c>
      <c r="E35" s="13" t="n">
        <v>0.7</v>
      </c>
      <c r="F35" s="13" t="n">
        <v>0.06</v>
      </c>
      <c r="G35" s="8" t="n"/>
      <c r="H35" s="8" t="n"/>
    </row>
    <row r="36">
      <c r="A36" s="9" t="inlineStr">
        <is>
          <t>JOB-1341 — Barista</t>
        </is>
      </c>
      <c r="B36" s="13" t="n">
        <v>0.3</v>
      </c>
      <c r="C36" s="13" t="n">
        <v>0.86</v>
      </c>
      <c r="D36" s="13" t="n">
        <v>1</v>
      </c>
      <c r="E36" s="13" t="n">
        <v>0.9</v>
      </c>
      <c r="F36" s="13" t="n">
        <v>0.05</v>
      </c>
      <c r="G36" s="8" t="n"/>
      <c r="H36" s="8" t="n"/>
    </row>
    <row r="37">
      <c r="A37" s="9" t="inlineStr">
        <is>
          <t>JOB-1312 — Coding Mentor</t>
        </is>
      </c>
      <c r="B37" s="13" t="n">
        <v>0.3</v>
      </c>
      <c r="C37" s="13" t="n">
        <v>1.2</v>
      </c>
      <c r="D37" s="13" t="n">
        <v>0.4</v>
      </c>
      <c r="E37" s="13" t="n">
        <v>0.9</v>
      </c>
      <c r="F37" s="13" t="n">
        <v>0</v>
      </c>
      <c r="G37" s="8" t="n"/>
      <c r="H37" s="8" t="n"/>
    </row>
    <row r="38">
      <c r="A38" s="9" t="inlineStr">
        <is>
          <t>JOB-1034 — Part-time Café Crew – Lippo Icon Gajah Mada</t>
        </is>
      </c>
      <c r="B38" s="13" t="n">
        <v>0.3</v>
      </c>
      <c r="C38" s="13" t="n">
        <v>0.71</v>
      </c>
      <c r="D38" s="13" t="n">
        <v>0.8</v>
      </c>
      <c r="E38" s="13" t="n">
        <v>0.8</v>
      </c>
      <c r="F38" s="13" t="n">
        <v>0</v>
      </c>
      <c r="G38" s="8" t="n"/>
      <c r="H38" s="8" t="n"/>
    </row>
    <row r="39">
      <c r="A39" s="9" t="inlineStr">
        <is>
          <t>JOB-1083 — Crew Store Bagi Kopi Margonda</t>
        </is>
      </c>
      <c r="B39" s="13" t="n">
        <v>0.3</v>
      </c>
      <c r="C39" s="13" t="n">
        <v>0.86</v>
      </c>
      <c r="D39" s="13" t="n">
        <v>0.8</v>
      </c>
      <c r="E39" s="13" t="n">
        <v>0.7</v>
      </c>
      <c r="F39" s="13" t="n">
        <v>1</v>
      </c>
      <c r="G39" s="8" t="n"/>
      <c r="H39" s="8" t="n"/>
    </row>
    <row r="40">
      <c r="A40" s="9" t="inlineStr">
        <is>
          <t>JOB-1001 — English Tutor Part Time</t>
        </is>
      </c>
      <c r="B40" s="13" t="n">
        <v>1</v>
      </c>
      <c r="C40" s="13" t="n">
        <v>0.86</v>
      </c>
      <c r="D40" s="13" t="n">
        <v>0.4</v>
      </c>
      <c r="E40" s="13" t="n">
        <v>0.9</v>
      </c>
      <c r="F40" s="13" t="n">
        <v>0</v>
      </c>
      <c r="G40" s="8" t="n"/>
      <c r="H40" s="8" t="n"/>
    </row>
    <row r="41">
      <c r="A41" s="9" t="inlineStr">
        <is>
          <t>JOB-1012 — Social Media &amp; Content Growth</t>
        </is>
      </c>
      <c r="B41" s="13" t="n">
        <v>0.3</v>
      </c>
      <c r="C41" s="13" t="n">
        <v>1</v>
      </c>
      <c r="D41" s="13" t="n">
        <v>1</v>
      </c>
      <c r="E41" s="13" t="n">
        <v>1</v>
      </c>
      <c r="F41" s="13" t="n">
        <v>0</v>
      </c>
      <c r="G41" s="8" t="n"/>
      <c r="H41" s="8" t="n"/>
    </row>
    <row r="42">
      <c r="A42" s="9" t="inlineStr">
        <is>
          <t>JOB-1023 — Customer Service Weekend (Part-Time)</t>
        </is>
      </c>
      <c r="B42" s="13" t="n">
        <v>0.3</v>
      </c>
      <c r="C42" s="13" t="n">
        <v>1.04</v>
      </c>
      <c r="D42" s="13" t="n">
        <v>1</v>
      </c>
      <c r="E42" s="13" t="n">
        <v>0.9</v>
      </c>
      <c r="F42" s="13" t="n">
        <v>0.04</v>
      </c>
      <c r="G42" s="8" t="n"/>
      <c r="H42" s="8" t="n"/>
    </row>
    <row r="43">
      <c r="A43" s="9" t="inlineStr">
        <is>
          <t>JOB-1177 — [Part-time] - Pengajar Matematika Bilingual - Bogor Sentul</t>
        </is>
      </c>
      <c r="B43" s="13" t="n">
        <v>1</v>
      </c>
      <c r="C43" s="13" t="n">
        <v>1.29</v>
      </c>
      <c r="D43" s="13" t="n">
        <v>0.4</v>
      </c>
      <c r="E43" s="13" t="n">
        <v>0.9</v>
      </c>
      <c r="F43" s="13" t="n">
        <v>0</v>
      </c>
      <c r="G43" s="8" t="n"/>
      <c r="H43" s="8" t="n"/>
    </row>
    <row r="44">
      <c r="A44" s="9" t="inlineStr">
        <is>
          <t>JOB-1174 — Scholastic Assessment Test</t>
        </is>
      </c>
      <c r="B44" s="13" t="n">
        <v>0.3</v>
      </c>
      <c r="C44" s="13" t="n">
        <v>1.43</v>
      </c>
      <c r="D44" s="13" t="n">
        <v>1</v>
      </c>
      <c r="E44" s="13" t="n">
        <v>1</v>
      </c>
      <c r="F44" s="13" t="n">
        <v>0</v>
      </c>
      <c r="G44" s="8" t="n"/>
      <c r="H44" s="8" t="n"/>
    </row>
    <row r="45">
      <c r="A45" s="9" t="inlineStr">
        <is>
          <t>JOB-1248 — Master Teacher Fisika Jenjang SMA</t>
        </is>
      </c>
      <c r="B45" s="13" t="n">
        <v>1</v>
      </c>
      <c r="C45" s="13" t="n">
        <v>0.8</v>
      </c>
      <c r="D45" s="13" t="n">
        <v>0.4</v>
      </c>
      <c r="E45" s="13" t="n">
        <v>0.7</v>
      </c>
      <c r="F45" s="13" t="n">
        <v>0</v>
      </c>
      <c r="G45" s="8" t="n"/>
      <c r="H45" s="8" t="n"/>
    </row>
    <row r="46">
      <c r="A46" s="9" t="inlineStr">
        <is>
          <t>JOB-1019 — IT dan CODING Teacher</t>
        </is>
      </c>
      <c r="B46" s="13" t="n">
        <v>0.3</v>
      </c>
      <c r="C46" s="13" t="n">
        <v>0.8</v>
      </c>
      <c r="D46" s="13" t="n">
        <v>0.4</v>
      </c>
      <c r="E46" s="13" t="n">
        <v>0.8</v>
      </c>
      <c r="F46" s="13" t="n">
        <v>0</v>
      </c>
      <c r="G46" s="8" t="n"/>
      <c r="H46" s="8" t="n"/>
    </row>
    <row r="47">
      <c r="A47" s="9" t="inlineStr">
        <is>
          <t>JOB-1229 — Master Teacher UTBK (PU,PK,PM)</t>
        </is>
      </c>
      <c r="B47" s="13" t="n">
        <v>1</v>
      </c>
      <c r="C47" s="13" t="n">
        <v>1</v>
      </c>
      <c r="D47" s="13" t="n">
        <v>0.4</v>
      </c>
      <c r="E47" s="13" t="n">
        <v>0.8</v>
      </c>
      <c r="F47" s="13" t="n">
        <v>0</v>
      </c>
      <c r="G47" s="8" t="n"/>
      <c r="H47" s="8" t="n"/>
    </row>
    <row r="48">
      <c r="A48" s="9" t="inlineStr">
        <is>
          <t>JOB-1016 — SHOPKEEPER PART TIME (URGENTLY NEEDED)</t>
        </is>
      </c>
      <c r="B48" s="13" t="n">
        <v>0.3</v>
      </c>
      <c r="C48" s="13" t="n">
        <v>1.43</v>
      </c>
      <c r="D48" s="13" t="n">
        <v>0.4</v>
      </c>
      <c r="E48" s="13" t="n">
        <v>1</v>
      </c>
      <c r="F48" s="13" t="n">
        <v>0</v>
      </c>
      <c r="G48" s="8" t="n"/>
      <c r="H48" s="8" t="n"/>
    </row>
    <row r="49">
      <c r="A49" s="9" t="inlineStr">
        <is>
          <t>JOB-1040 — Part Time Guru Ekskul Board Game di sekolah daerah Pluit dan PIK</t>
        </is>
      </c>
      <c r="B49" s="13" t="n">
        <v>1</v>
      </c>
      <c r="C49" s="13" t="n">
        <v>0.86</v>
      </c>
      <c r="D49" s="13" t="n">
        <v>0.8</v>
      </c>
      <c r="E49" s="13" t="n">
        <v>0.8</v>
      </c>
      <c r="F49" s="13" t="n">
        <v>0</v>
      </c>
      <c r="G49" s="8" t="n"/>
      <c r="H49" s="8" t="n"/>
    </row>
    <row r="50">
      <c r="A50" s="9" t="inlineStr">
        <is>
          <t>JOB-1094 — SALES IT B2B (PART TIME)</t>
        </is>
      </c>
      <c r="B50" s="13" t="n">
        <v>1</v>
      </c>
      <c r="C50" s="13" t="n">
        <v>1</v>
      </c>
      <c r="D50" s="13" t="n">
        <v>1</v>
      </c>
      <c r="E50" s="13" t="n">
        <v>0.9</v>
      </c>
      <c r="F50" s="13" t="n">
        <v>0</v>
      </c>
      <c r="G50" s="8" t="n"/>
      <c r="H50" s="8" t="n"/>
    </row>
    <row r="51">
      <c r="A51" s="9" t="inlineStr">
        <is>
          <t>JOB-1323 — Sales Force</t>
        </is>
      </c>
      <c r="B51" s="13" t="n">
        <v>1</v>
      </c>
      <c r="C51" s="13" t="n">
        <v>1.2</v>
      </c>
      <c r="D51" s="13" t="n">
        <v>1</v>
      </c>
      <c r="E51" s="13" t="n">
        <v>0.8</v>
      </c>
      <c r="F51" s="13" t="n">
        <v>0</v>
      </c>
      <c r="G51" s="8" t="n"/>
      <c r="H51" s="8" t="n"/>
    </row>
    <row r="52">
      <c r="A52" s="9" t="inlineStr">
        <is>
          <t>JOB-1369 — Sales CounterMoori Family MassageDipromosikanKota</t>
        </is>
      </c>
      <c r="B52" s="13" t="n">
        <v>1</v>
      </c>
      <c r="C52" s="13" t="n">
        <v>1</v>
      </c>
      <c r="D52" s="13" t="n">
        <v>0.4</v>
      </c>
      <c r="E52" s="13" t="n">
        <v>0.9</v>
      </c>
      <c r="F52" s="13" t="n">
        <v>0</v>
      </c>
      <c r="G52" s="8" t="n"/>
      <c r="H52" s="8" t="n"/>
    </row>
    <row r="53">
      <c r="A53" s="9" t="inlineStr">
        <is>
          <t>JOB-1150 — Kurir Last-Mile</t>
        </is>
      </c>
      <c r="B53" s="13" t="n">
        <v>0.3</v>
      </c>
      <c r="C53" s="13" t="n">
        <v>0.71</v>
      </c>
      <c r="D53" s="13" t="n">
        <v>0.8</v>
      </c>
      <c r="E53" s="13" t="n">
        <v>0.8</v>
      </c>
      <c r="F53" s="13" t="n">
        <v>0</v>
      </c>
      <c r="G53" s="8" t="n"/>
      <c r="H53" s="8" t="n"/>
    </row>
    <row r="54">
      <c r="A54" s="9" t="inlineStr">
        <is>
          <t>JOB-1193 — Marketplace Customer Service (Part-Time &amp; Remote)</t>
        </is>
      </c>
      <c r="B54" s="13" t="n">
        <v>0.3</v>
      </c>
      <c r="C54" s="13" t="n">
        <v>1</v>
      </c>
      <c r="D54" s="13" t="n">
        <v>1</v>
      </c>
      <c r="E54" s="13" t="n">
        <v>1</v>
      </c>
      <c r="F54" s="13" t="n">
        <v>0</v>
      </c>
      <c r="G54" s="8" t="n"/>
      <c r="H54" s="8" t="n"/>
    </row>
    <row r="55">
      <c r="A55" s="9" t="inlineStr">
        <is>
          <t>JOB-1366 — Specialist Telemarketing CC Syariah - Tangerang Ka</t>
        </is>
      </c>
      <c r="B55" s="13" t="n">
        <v>0.3</v>
      </c>
      <c r="C55" s="13" t="n">
        <v>0.86</v>
      </c>
      <c r="D55" s="13" t="n">
        <v>0.4</v>
      </c>
      <c r="E55" s="13" t="n">
        <v>0.9</v>
      </c>
      <c r="F55" s="13" t="n">
        <v>0</v>
      </c>
      <c r="G55" s="8" t="n"/>
      <c r="H55" s="8" t="n"/>
    </row>
    <row r="56">
      <c r="A56" s="9" t="inlineStr">
        <is>
          <t>JOB-1239 — Marketing Klinik - Bekasi</t>
        </is>
      </c>
      <c r="B56" s="13" t="n">
        <v>0.3</v>
      </c>
      <c r="C56" s="13" t="n">
        <v>1.29</v>
      </c>
      <c r="D56" s="13" t="n">
        <v>0.4</v>
      </c>
      <c r="E56" s="13" t="n">
        <v>0.8</v>
      </c>
      <c r="F56" s="13" t="n">
        <v>0</v>
      </c>
      <c r="G56" s="8" t="n"/>
      <c r="H56" s="8" t="n"/>
    </row>
    <row r="57">
      <c r="A57" s="9" t="inlineStr">
        <is>
          <t>JOB-1089 — COOK</t>
        </is>
      </c>
      <c r="B57" s="13" t="n">
        <v>0.3</v>
      </c>
      <c r="C57" s="13" t="n">
        <v>1.09</v>
      </c>
      <c r="D57" s="13" t="n">
        <v>0.4</v>
      </c>
      <c r="E57" s="13" t="n">
        <v>0.8</v>
      </c>
      <c r="F57" s="13" t="n">
        <v>0</v>
      </c>
      <c r="G57" s="8" t="n"/>
      <c r="H57" s="8" t="n"/>
    </row>
    <row r="58">
      <c r="A58" s="9" t="inlineStr">
        <is>
          <t>JOB-1154 — Mandarin Tutor / Pengajar Bahasa Mandarin - Bogor (Part Time)</t>
        </is>
      </c>
      <c r="B58" s="13" t="n">
        <v>1</v>
      </c>
      <c r="C58" s="13" t="n">
        <v>1.14</v>
      </c>
      <c r="D58" s="13" t="n">
        <v>0.4</v>
      </c>
      <c r="E58" s="13" t="n">
        <v>0.8</v>
      </c>
      <c r="F58" s="13" t="n">
        <v>0.06</v>
      </c>
      <c r="G58" s="8" t="n"/>
      <c r="H58" s="8" t="n"/>
    </row>
    <row r="59">
      <c r="A59" s="9" t="inlineStr">
        <is>
          <t>JOB-1226 — Staf Dapur</t>
        </is>
      </c>
      <c r="B59" s="13" t="n">
        <v>0.3</v>
      </c>
      <c r="C59" s="13" t="n">
        <v>1.14</v>
      </c>
      <c r="D59" s="13" t="n">
        <v>0.8</v>
      </c>
      <c r="E59" s="13" t="n">
        <v>1</v>
      </c>
      <c r="F59" s="13" t="n">
        <v>0</v>
      </c>
      <c r="G59" s="8" t="n"/>
      <c r="H59" s="8" t="n"/>
    </row>
    <row r="60">
      <c r="A60" s="9" t="inlineStr">
        <is>
          <t>JOB-1125 — Barista</t>
        </is>
      </c>
      <c r="B60" s="13" t="n">
        <v>0.3</v>
      </c>
      <c r="C60" s="13" t="n">
        <v>1</v>
      </c>
      <c r="D60" s="13" t="n">
        <v>0.4</v>
      </c>
      <c r="E60" s="13" t="n">
        <v>1</v>
      </c>
      <c r="F60" s="13" t="n">
        <v>1</v>
      </c>
      <c r="G60" s="8" t="n"/>
      <c r="H60" s="8" t="n"/>
    </row>
    <row r="61">
      <c r="A61" s="9" t="inlineStr">
        <is>
          <t>JOB-1363 — Staff Admin Receptionist</t>
        </is>
      </c>
      <c r="B61" s="13" t="n">
        <v>0.3</v>
      </c>
      <c r="C61" s="13" t="n">
        <v>1</v>
      </c>
      <c r="D61" s="13" t="n">
        <v>0.4</v>
      </c>
      <c r="E61" s="13" t="n">
        <v>0.9</v>
      </c>
      <c r="F61" s="13" t="n">
        <v>0</v>
      </c>
      <c r="G61" s="8" t="n"/>
      <c r="H61" s="8" t="n"/>
    </row>
    <row r="62">
      <c r="A62" s="9" t="inlineStr">
        <is>
          <t>JOB-1362 — Dokter Umum</t>
        </is>
      </c>
      <c r="B62" s="13" t="n">
        <v>0.3</v>
      </c>
      <c r="C62" s="13" t="n">
        <v>1.2</v>
      </c>
      <c r="D62" s="13" t="n">
        <v>1</v>
      </c>
      <c r="E62" s="13" t="n">
        <v>0.7</v>
      </c>
      <c r="F62" s="13" t="n">
        <v>0</v>
      </c>
      <c r="G62" s="8" t="n"/>
      <c r="H62" s="8" t="n"/>
    </row>
    <row r="63">
      <c r="A63" s="9" t="inlineStr">
        <is>
          <t>JOB-1365 — Sales Toko Laptop (Tangerang City / Alam Sutera)KL</t>
        </is>
      </c>
      <c r="B63" s="13" t="n">
        <v>1</v>
      </c>
      <c r="C63" s="13" t="n">
        <v>1</v>
      </c>
      <c r="D63" s="13" t="n">
        <v>0.4</v>
      </c>
      <c r="E63" s="13" t="n">
        <v>0.8</v>
      </c>
      <c r="F63" s="13" t="n">
        <v>0</v>
      </c>
      <c r="G63" s="8" t="n"/>
      <c r="H63" s="8" t="n"/>
    </row>
    <row r="64">
      <c r="A64" s="9" t="inlineStr">
        <is>
          <t>JOB-1026 — Barista</t>
        </is>
      </c>
      <c r="B64" s="13" t="n">
        <v>0.3</v>
      </c>
      <c r="C64" s="13" t="n">
        <v>1.09</v>
      </c>
      <c r="D64" s="13" t="n">
        <v>0.4</v>
      </c>
      <c r="E64" s="13" t="n">
        <v>0.8</v>
      </c>
      <c r="F64" s="13" t="n">
        <v>0</v>
      </c>
      <c r="G64" s="8" t="n"/>
      <c r="H64" s="8" t="n"/>
    </row>
    <row r="65">
      <c r="A65" s="9" t="inlineStr">
        <is>
          <t>JOB-1275 — Guru Coding &amp; AI</t>
        </is>
      </c>
      <c r="B65" s="13" t="n">
        <v>0.3</v>
      </c>
      <c r="C65" s="13" t="n">
        <v>0.86</v>
      </c>
      <c r="D65" s="13" t="n">
        <v>0.4</v>
      </c>
      <c r="E65" s="13" t="n">
        <v>0.8</v>
      </c>
      <c r="F65" s="13" t="n">
        <v>0</v>
      </c>
      <c r="G65" s="8" t="n"/>
      <c r="H65" s="8" t="n"/>
    </row>
    <row r="66">
      <c r="A66" s="9" t="inlineStr">
        <is>
          <t>JOB-1333 — Fisioterapis</t>
        </is>
      </c>
      <c r="B66" s="13" t="n">
        <v>0.3</v>
      </c>
      <c r="C66" s="13" t="n">
        <v>0.71</v>
      </c>
      <c r="D66" s="13" t="n">
        <v>1</v>
      </c>
      <c r="E66" s="13" t="n">
        <v>1</v>
      </c>
      <c r="F66" s="13" t="n">
        <v>0</v>
      </c>
      <c r="G66" s="8" t="n"/>
      <c r="H66" s="8" t="n"/>
    </row>
    <row r="67">
      <c r="A67" s="9" t="inlineStr">
        <is>
          <t>JOB-1302 — Penjaga Stand/Booth</t>
        </is>
      </c>
      <c r="B67" s="13" t="n">
        <v>0.3</v>
      </c>
      <c r="C67" s="13" t="n">
        <v>1.2</v>
      </c>
      <c r="D67" s="13" t="n">
        <v>1</v>
      </c>
      <c r="E67" s="13" t="n">
        <v>1</v>
      </c>
      <c r="F67" s="13" t="n">
        <v>0</v>
      </c>
      <c r="G67" s="8" t="n"/>
      <c r="H67" s="8" t="n"/>
    </row>
    <row r="68">
      <c r="A68" s="9" t="inlineStr">
        <is>
          <t>JOB-1127 — Embedded Systems Engineer</t>
        </is>
      </c>
      <c r="B68" s="13" t="n">
        <v>0.3</v>
      </c>
      <c r="C68" s="13" t="n">
        <v>0.8</v>
      </c>
      <c r="D68" s="13" t="n">
        <v>0.8</v>
      </c>
      <c r="E68" s="13" t="n">
        <v>1</v>
      </c>
      <c r="F68" s="13" t="n">
        <v>0</v>
      </c>
      <c r="G68" s="8" t="n"/>
      <c r="H68" s="8" t="n"/>
    </row>
    <row r="69">
      <c r="A69" s="9" t="inlineStr">
        <is>
          <t>JOB-1272 — Waiter/Waiters</t>
        </is>
      </c>
      <c r="B69" s="13" t="n">
        <v>0.3</v>
      </c>
      <c r="C69" s="13" t="n">
        <v>0.86</v>
      </c>
      <c r="D69" s="13" t="n">
        <v>1</v>
      </c>
      <c r="E69" s="13" t="n">
        <v>0.9</v>
      </c>
      <c r="F69" s="13" t="n">
        <v>1</v>
      </c>
      <c r="G69" s="8" t="n"/>
      <c r="H69" s="8" t="n"/>
    </row>
    <row r="70">
      <c r="A70" s="9" t="inlineStr">
        <is>
          <t>JOB-1357 — Mobile Coffee Shop Crew</t>
        </is>
      </c>
      <c r="B70" s="13" t="n">
        <v>0.3</v>
      </c>
      <c r="C70" s="13" t="n">
        <v>1</v>
      </c>
      <c r="D70" s="13" t="n">
        <v>0.4</v>
      </c>
      <c r="E70" s="13" t="n">
        <v>1</v>
      </c>
      <c r="F70" s="13" t="n">
        <v>1</v>
      </c>
      <c r="G70" s="8" t="n"/>
      <c r="H70" s="8" t="n"/>
    </row>
    <row r="71">
      <c r="A71" s="9" t="inlineStr">
        <is>
          <t>JOB-1032 — Aesthetic Doctor</t>
        </is>
      </c>
      <c r="B71" s="13" t="n">
        <v>0.3</v>
      </c>
      <c r="C71" s="13" t="n">
        <v>1</v>
      </c>
      <c r="D71" s="13" t="n">
        <v>0.4</v>
      </c>
      <c r="E71" s="13" t="n">
        <v>0.8</v>
      </c>
      <c r="F71" s="13" t="n">
        <v>0</v>
      </c>
      <c r="G71" s="8" t="n"/>
      <c r="H71" s="8" t="n"/>
    </row>
    <row r="72">
      <c r="A72" s="9" t="inlineStr">
        <is>
          <t>JOB-1114 — Asisten Tenaga Kefarmasian (ATK)</t>
        </is>
      </c>
      <c r="B72" s="13" t="n">
        <v>0.3</v>
      </c>
      <c r="C72" s="13" t="n">
        <v>1.29</v>
      </c>
      <c r="D72" s="13" t="n">
        <v>1</v>
      </c>
      <c r="E72" s="13" t="n">
        <v>0.7</v>
      </c>
      <c r="F72" s="13" t="n">
        <v>0</v>
      </c>
      <c r="G72" s="8" t="n"/>
      <c r="H72" s="8" t="n"/>
    </row>
    <row r="73">
      <c r="A73" s="9" t="inlineStr">
        <is>
          <t>JOB-1058 — Customer Service Advisor</t>
        </is>
      </c>
      <c r="B73" s="13" t="n">
        <v>0.3</v>
      </c>
      <c r="C73" s="13" t="n">
        <v>1.09</v>
      </c>
      <c r="D73" s="13" t="n">
        <v>1</v>
      </c>
      <c r="E73" s="13" t="n">
        <v>1</v>
      </c>
      <c r="F73" s="13" t="n">
        <v>0</v>
      </c>
      <c r="G73" s="8" t="n"/>
      <c r="H73" s="8" t="n"/>
    </row>
    <row r="74">
      <c r="A74" s="9" t="inlineStr">
        <is>
          <t>JOB-1228 — Operator Laundry (Part Time)</t>
        </is>
      </c>
      <c r="B74" s="13" t="n">
        <v>0.3</v>
      </c>
      <c r="C74" s="13" t="n">
        <v>1</v>
      </c>
      <c r="D74" s="13" t="n">
        <v>0.4</v>
      </c>
      <c r="E74" s="13" t="n">
        <v>0.8</v>
      </c>
      <c r="F74" s="13" t="n">
        <v>0</v>
      </c>
      <c r="G74" s="8" t="n"/>
      <c r="H74" s="8" t="n"/>
    </row>
    <row r="75">
      <c r="A75" s="9" t="inlineStr">
        <is>
          <t>JOB-1025 — Mitra Office Boy : jakarta Selatan (Jagakarsa Plus)</t>
        </is>
      </c>
      <c r="B75" s="13" t="n">
        <v>0.3</v>
      </c>
      <c r="C75" s="13" t="n">
        <v>1.09</v>
      </c>
      <c r="D75" s="13" t="n">
        <v>0.8</v>
      </c>
      <c r="E75" s="13" t="n">
        <v>1</v>
      </c>
      <c r="F75" s="13" t="n">
        <v>0</v>
      </c>
      <c r="G75" s="8" t="n"/>
      <c r="H75" s="8" t="n"/>
    </row>
    <row r="76">
      <c r="A76" s="9" t="inlineStr">
        <is>
          <t>JOB-1211 — Operator Air Minum Paruh Waktu</t>
        </is>
      </c>
      <c r="B76" s="13" t="n">
        <v>0.3</v>
      </c>
      <c r="C76" s="13" t="n">
        <v>1</v>
      </c>
      <c r="D76" s="13" t="n">
        <v>0.8</v>
      </c>
      <c r="E76" s="13" t="n">
        <v>0.7</v>
      </c>
      <c r="F76" s="13" t="n">
        <v>0</v>
      </c>
      <c r="G76" s="8" t="n"/>
      <c r="H76" s="8" t="n"/>
    </row>
    <row r="77">
      <c r="A77" s="9" t="inlineStr">
        <is>
          <t>JOB-1067 — SAT Tutor</t>
        </is>
      </c>
      <c r="B77" s="13" t="n">
        <v>1</v>
      </c>
      <c r="C77" s="13" t="n">
        <v>1.29</v>
      </c>
      <c r="D77" s="13" t="n">
        <v>0.8</v>
      </c>
      <c r="E77" s="13" t="n">
        <v>0.9</v>
      </c>
      <c r="F77" s="13" t="n">
        <v>0</v>
      </c>
      <c r="G77" s="8" t="n"/>
      <c r="H77" s="8" t="n"/>
    </row>
    <row r="78">
      <c r="A78" s="9" t="inlineStr">
        <is>
          <t>JOB-1223 — konten kreator</t>
        </is>
      </c>
      <c r="B78" s="13" t="n">
        <v>0.3</v>
      </c>
      <c r="C78" s="13" t="n">
        <v>1</v>
      </c>
      <c r="D78" s="13" t="n">
        <v>1</v>
      </c>
      <c r="E78" s="13" t="n">
        <v>0.9</v>
      </c>
      <c r="F78" s="13" t="n">
        <v>0</v>
      </c>
      <c r="G78" s="8" t="n"/>
      <c r="H78" s="8" t="n"/>
    </row>
    <row r="79">
      <c r="A79" s="9" t="inlineStr">
        <is>
          <t>JOB-1148 — Teacher Part Time Coding &amp; Robotic (AREA BEKASI) WFO</t>
        </is>
      </c>
      <c r="B79" s="13" t="n">
        <v>0.3</v>
      </c>
      <c r="C79" s="13" t="n">
        <v>0.86</v>
      </c>
      <c r="D79" s="13" t="n">
        <v>0.4</v>
      </c>
      <c r="E79" s="13" t="n">
        <v>0.9</v>
      </c>
      <c r="F79" s="13" t="n">
        <v>0</v>
      </c>
      <c r="G79" s="8" t="n"/>
      <c r="H79" s="8" t="n"/>
    </row>
    <row r="80">
      <c r="A80" s="9" t="inlineStr">
        <is>
          <t>JOB-1178 — Guru IPA</t>
        </is>
      </c>
      <c r="B80" s="13" t="n">
        <v>1</v>
      </c>
      <c r="C80" s="13" t="n">
        <v>1.09</v>
      </c>
      <c r="D80" s="13" t="n">
        <v>0.4</v>
      </c>
      <c r="E80" s="13" t="n">
        <v>0.8</v>
      </c>
      <c r="F80" s="13" t="n">
        <v>0.06</v>
      </c>
      <c r="G80" s="8" t="n"/>
      <c r="H80" s="8" t="n"/>
    </row>
    <row r="81">
      <c r="A81" s="9" t="inlineStr">
        <is>
          <t>JOB-1095 — Asisten Operasi Penjualan</t>
        </is>
      </c>
      <c r="B81" s="13" t="n">
        <v>0.3</v>
      </c>
      <c r="C81" s="13" t="n">
        <v>0.71</v>
      </c>
      <c r="D81" s="13" t="n">
        <v>0.4</v>
      </c>
      <c r="E81" s="13" t="n">
        <v>1</v>
      </c>
      <c r="F81" s="13" t="n">
        <v>0</v>
      </c>
      <c r="G81" s="8" t="n"/>
      <c r="H81" s="8" t="n"/>
    </row>
    <row r="82">
      <c r="A82" s="9" t="inlineStr">
        <is>
          <t>JOB-1181 — Part Time Guru Ekskul Board Game di sekolah sekitar Tangsel</t>
        </is>
      </c>
      <c r="B82" s="13" t="n">
        <v>1</v>
      </c>
      <c r="C82" s="13" t="n">
        <v>1.29</v>
      </c>
      <c r="D82" s="13" t="n">
        <v>0.8</v>
      </c>
      <c r="E82" s="13" t="n">
        <v>0.9</v>
      </c>
      <c r="F82" s="13" t="n">
        <v>0.06</v>
      </c>
      <c r="G82" s="8" t="n"/>
      <c r="H82" s="8" t="n"/>
    </row>
    <row r="83">
      <c r="A83" s="9" t="inlineStr">
        <is>
          <t>JOB-1350 — Staff Kebersihan</t>
        </is>
      </c>
      <c r="B83" s="13" t="n">
        <v>0.3</v>
      </c>
      <c r="C83" s="13" t="n">
        <v>0.71</v>
      </c>
      <c r="D83" s="13" t="n">
        <v>0.4</v>
      </c>
      <c r="E83" s="13" t="n">
        <v>0.7</v>
      </c>
      <c r="F83" s="13" t="n">
        <v>0</v>
      </c>
      <c r="G83" s="8" t="n"/>
      <c r="H83" s="8" t="n"/>
    </row>
    <row r="84">
      <c r="A84" s="9" t="inlineStr">
        <is>
          <t>JOB-1117 — PART TIME perizinan bangunan</t>
        </is>
      </c>
      <c r="B84" s="13" t="n">
        <v>0.3</v>
      </c>
      <c r="C84" s="13" t="n">
        <v>0.8</v>
      </c>
      <c r="D84" s="13" t="n">
        <v>0.4</v>
      </c>
      <c r="E84" s="13" t="n">
        <v>0.7</v>
      </c>
      <c r="F84" s="13" t="n">
        <v>0</v>
      </c>
      <c r="G84" s="8" t="n"/>
      <c r="H84" s="8" t="n"/>
    </row>
    <row r="85">
      <c r="A85" s="9" t="inlineStr">
        <is>
          <t>JOB-1046 — Personal Assistant</t>
        </is>
      </c>
      <c r="B85" s="13" t="n">
        <v>0.3</v>
      </c>
      <c r="C85" s="13" t="n">
        <v>1</v>
      </c>
      <c r="D85" s="13" t="n">
        <v>0.4</v>
      </c>
      <c r="E85" s="13" t="n">
        <v>0.9</v>
      </c>
      <c r="F85" s="13" t="n">
        <v>0</v>
      </c>
      <c r="G85" s="8" t="n"/>
      <c r="H85" s="8" t="n"/>
    </row>
    <row r="86">
      <c r="A86" s="9" t="inlineStr">
        <is>
          <t>JOB-1300 — Terapis Kesehatan</t>
        </is>
      </c>
      <c r="B86" s="13" t="n">
        <v>0.3</v>
      </c>
      <c r="C86" s="13" t="n">
        <v>0.86</v>
      </c>
      <c r="D86" s="13" t="n">
        <v>0.4</v>
      </c>
      <c r="E86" s="13" t="n">
        <v>1</v>
      </c>
      <c r="F86" s="13" t="n">
        <v>0</v>
      </c>
      <c r="G86" s="8" t="n"/>
      <c r="H86" s="8" t="n"/>
    </row>
    <row r="87">
      <c r="A87" s="9" t="inlineStr">
        <is>
          <t>JOB-1004 — [Part-time] - Pengajar Bahasa Inggris - Tangerang Selatan</t>
        </is>
      </c>
      <c r="B87" s="13" t="n">
        <v>1</v>
      </c>
      <c r="C87" s="13" t="n">
        <v>1</v>
      </c>
      <c r="D87" s="13" t="n">
        <v>0.4</v>
      </c>
      <c r="E87" s="13" t="n">
        <v>0.8</v>
      </c>
      <c r="F87" s="13" t="n">
        <v>0.06</v>
      </c>
      <c r="G87" s="8" t="n"/>
      <c r="H87" s="8" t="n"/>
    </row>
    <row r="88">
      <c r="A88" s="9" t="inlineStr">
        <is>
          <t>JOB-1111 — Barista Part Time Area Jakarta Utara</t>
        </is>
      </c>
      <c r="B88" s="13" t="n">
        <v>0.3</v>
      </c>
      <c r="C88" s="13" t="n">
        <v>1</v>
      </c>
      <c r="D88" s="13" t="n">
        <v>0.8</v>
      </c>
      <c r="E88" s="13" t="n">
        <v>0.8</v>
      </c>
      <c r="F88" s="13" t="n">
        <v>1</v>
      </c>
      <c r="G88" s="8" t="n"/>
      <c r="H88" s="8" t="n"/>
    </row>
    <row r="89">
      <c r="A89" s="9" t="inlineStr">
        <is>
          <t>JOB-1349 — Guru Matematika</t>
        </is>
      </c>
      <c r="B89" s="13" t="n">
        <v>1</v>
      </c>
      <c r="C89" s="13" t="n">
        <v>1</v>
      </c>
      <c r="D89" s="13" t="n">
        <v>1</v>
      </c>
      <c r="E89" s="13" t="n">
        <v>0.9</v>
      </c>
      <c r="F89" s="13" t="n">
        <v>0.06</v>
      </c>
      <c r="G89" s="8" t="n"/>
      <c r="H89" s="8" t="n"/>
    </row>
    <row r="90">
      <c r="A90" s="9" t="inlineStr">
        <is>
          <t>JOB-1030 — OneClickSmart: Sales Software Online (Remote)</t>
        </is>
      </c>
      <c r="B90" s="13" t="n">
        <v>0.3</v>
      </c>
      <c r="C90" s="13" t="n">
        <v>0.86</v>
      </c>
      <c r="D90" s="13" t="n">
        <v>1</v>
      </c>
      <c r="E90" s="13" t="n">
        <v>0.9</v>
      </c>
      <c r="F90" s="13" t="n">
        <v>0</v>
      </c>
      <c r="G90" s="8" t="n"/>
      <c r="H90" s="8" t="n"/>
    </row>
    <row r="91">
      <c r="A91" s="9" t="inlineStr">
        <is>
          <t>JOB-1197 — Kurir Motor</t>
        </is>
      </c>
      <c r="B91" s="13" t="n">
        <v>0.3</v>
      </c>
      <c r="C91" s="13" t="n">
        <v>1.14</v>
      </c>
      <c r="D91" s="13" t="n">
        <v>0.8</v>
      </c>
      <c r="E91" s="13" t="n">
        <v>1</v>
      </c>
      <c r="F91" s="13" t="n">
        <v>0</v>
      </c>
      <c r="G91" s="8" t="n"/>
      <c r="H91" s="8" t="n"/>
    </row>
    <row r="92">
      <c r="A92" s="9" t="inlineStr">
        <is>
          <t>JOB-1027 — English Teacher</t>
        </is>
      </c>
      <c r="B92" s="13" t="n">
        <v>1</v>
      </c>
      <c r="C92" s="13" t="n">
        <v>1</v>
      </c>
      <c r="D92" s="13" t="n">
        <v>1</v>
      </c>
      <c r="E92" s="13" t="n">
        <v>1</v>
      </c>
      <c r="F92" s="13" t="n">
        <v>0</v>
      </c>
      <c r="G92" s="8" t="n"/>
      <c r="H92" s="8" t="n"/>
    </row>
    <row r="93">
      <c r="A93" s="9" t="inlineStr">
        <is>
          <t>JOB-1008 — Trainer Desain Grafis</t>
        </is>
      </c>
      <c r="B93" s="13" t="n">
        <v>0.3</v>
      </c>
      <c r="C93" s="13" t="n">
        <v>0.71</v>
      </c>
      <c r="D93" s="13" t="n">
        <v>1</v>
      </c>
      <c r="E93" s="13" t="n">
        <v>0.9</v>
      </c>
      <c r="F93" s="13" t="n">
        <v>0</v>
      </c>
      <c r="G93" s="8" t="n"/>
      <c r="H93" s="8" t="n"/>
    </row>
    <row r="94">
      <c r="A94" s="9" t="inlineStr">
        <is>
          <t>JOB-1182 — Barista</t>
        </is>
      </c>
      <c r="B94" s="13" t="n">
        <v>0.3</v>
      </c>
      <c r="C94" s="13" t="n">
        <v>0.86</v>
      </c>
      <c r="D94" s="13" t="n">
        <v>1</v>
      </c>
      <c r="E94" s="13" t="n">
        <v>0.8</v>
      </c>
      <c r="F94" s="13" t="n">
        <v>1</v>
      </c>
      <c r="G94" s="8" t="n"/>
      <c r="H94" s="8" t="n"/>
    </row>
    <row r="95">
      <c r="A95" s="9" t="inlineStr">
        <is>
          <t>JOB-1109 — Video Content Creator</t>
        </is>
      </c>
      <c r="B95" s="13" t="n">
        <v>0.3</v>
      </c>
      <c r="C95" s="13" t="n">
        <v>1</v>
      </c>
      <c r="D95" s="13" t="n">
        <v>0.4</v>
      </c>
      <c r="E95" s="13" t="n">
        <v>0.95</v>
      </c>
      <c r="F95" s="13" t="n">
        <v>0</v>
      </c>
      <c r="G95" s="8" t="n"/>
      <c r="H95" s="8" t="n"/>
    </row>
    <row r="96">
      <c r="A96" s="9" t="inlineStr">
        <is>
          <t>JOB-1038 — SAT Tutor (Remote)</t>
        </is>
      </c>
      <c r="B96" s="13" t="n">
        <v>1</v>
      </c>
      <c r="C96" s="13" t="n">
        <v>1.43</v>
      </c>
      <c r="D96" s="13" t="n">
        <v>1</v>
      </c>
      <c r="E96" s="13" t="n">
        <v>0.8</v>
      </c>
      <c r="F96" s="13" t="n">
        <v>0</v>
      </c>
      <c r="G96" s="8" t="n"/>
      <c r="H96" s="8" t="n"/>
    </row>
    <row r="97">
      <c r="A97" s="9" t="inlineStr">
        <is>
          <t>JOB-1115 — English Teachers (Part-Time)</t>
        </is>
      </c>
      <c r="B97" s="13" t="n">
        <v>1</v>
      </c>
      <c r="C97" s="13" t="n">
        <v>1.43</v>
      </c>
      <c r="D97" s="13" t="n">
        <v>0.4</v>
      </c>
      <c r="E97" s="13" t="n">
        <v>0.7</v>
      </c>
      <c r="F97" s="13" t="n">
        <v>0</v>
      </c>
      <c r="G97" s="8" t="n"/>
      <c r="H97" s="8" t="n"/>
    </row>
    <row r="98">
      <c r="A98" s="9" t="inlineStr">
        <is>
          <t>JOB-1339 — Okupasi Terapis</t>
        </is>
      </c>
      <c r="B98" s="13" t="n">
        <v>0.3</v>
      </c>
      <c r="C98" s="13" t="n">
        <v>1</v>
      </c>
      <c r="D98" s="13" t="n">
        <v>1</v>
      </c>
      <c r="E98" s="13" t="n">
        <v>0.9</v>
      </c>
      <c r="F98" s="13" t="n">
        <v>0</v>
      </c>
      <c r="G98" s="8" t="n"/>
      <c r="H98" s="8" t="n"/>
    </row>
    <row r="99">
      <c r="A99" s="9" t="inlineStr">
        <is>
          <t>JOB-1176 — Talent Host Live</t>
        </is>
      </c>
      <c r="B99" s="13" t="n">
        <v>0.3</v>
      </c>
      <c r="C99" s="13" t="n">
        <v>0.8</v>
      </c>
      <c r="D99" s="13" t="n">
        <v>0.4</v>
      </c>
      <c r="E99" s="13" t="n">
        <v>1</v>
      </c>
      <c r="F99" s="13" t="n">
        <v>0</v>
      </c>
      <c r="G99" s="8" t="n"/>
      <c r="H99" s="8" t="n"/>
    </row>
    <row r="100">
      <c r="A100" s="9" t="inlineStr">
        <is>
          <t>JOB-1221 — Host Live Wanita CANTIK Work From Studio Bekasi Parttime</t>
        </is>
      </c>
      <c r="B100" s="13" t="n">
        <v>0.3</v>
      </c>
      <c r="C100" s="13" t="n">
        <v>1</v>
      </c>
      <c r="D100" s="13" t="n">
        <v>0.4</v>
      </c>
      <c r="E100" s="13" t="n">
        <v>0.9</v>
      </c>
      <c r="F100" s="13" t="n">
        <v>0</v>
      </c>
      <c r="G100" s="8" t="n"/>
      <c r="H100" s="8" t="n"/>
    </row>
    <row r="101">
      <c r="A101" s="9" t="inlineStr">
        <is>
          <t>JOB-1106 — Guru Sekolah Dasar</t>
        </is>
      </c>
      <c r="B101" s="13" t="n">
        <v>1</v>
      </c>
      <c r="C101" s="13" t="n">
        <v>1.09</v>
      </c>
      <c r="D101" s="13" t="n">
        <v>1</v>
      </c>
      <c r="E101" s="13" t="n">
        <v>0.9</v>
      </c>
      <c r="F101" s="13" t="n">
        <v>0</v>
      </c>
      <c r="G101" s="8" t="n"/>
      <c r="H101" s="8" t="n"/>
    </row>
    <row r="102">
      <c r="A102" s="9" t="inlineStr">
        <is>
          <t>JOB-1145 — Guru sekaligus Konten Kreator</t>
        </is>
      </c>
      <c r="B102" s="13" t="n">
        <v>1</v>
      </c>
      <c r="C102" s="13" t="n">
        <v>1</v>
      </c>
      <c r="D102" s="13" t="n">
        <v>0.4</v>
      </c>
      <c r="E102" s="13" t="n">
        <v>0.7</v>
      </c>
      <c r="F102" s="13" t="n">
        <v>0</v>
      </c>
      <c r="G102" s="8" t="n"/>
      <c r="H102" s="8" t="n"/>
    </row>
    <row r="103">
      <c r="A103" s="9" t="inlineStr">
        <is>
          <t>JOB-1142 — Daily Worker Kitchen Crew</t>
        </is>
      </c>
      <c r="B103" s="13" t="n">
        <v>0.3</v>
      </c>
      <c r="C103" s="13" t="n">
        <v>0.8</v>
      </c>
      <c r="D103" s="13" t="n">
        <v>0.4</v>
      </c>
      <c r="E103" s="13" t="n">
        <v>1</v>
      </c>
      <c r="F103" s="13" t="n">
        <v>0.05</v>
      </c>
      <c r="G103" s="8" t="n"/>
      <c r="H103" s="8" t="n"/>
    </row>
    <row r="104">
      <c r="A104" s="9" t="inlineStr">
        <is>
          <t>JOB-1068 — Content Creator</t>
        </is>
      </c>
      <c r="B104" s="13" t="n">
        <v>0.3</v>
      </c>
      <c r="C104" s="13" t="n">
        <v>1</v>
      </c>
      <c r="D104" s="13" t="n">
        <v>0.4</v>
      </c>
      <c r="E104" s="13" t="n">
        <v>1</v>
      </c>
      <c r="F104" s="13" t="n">
        <v>0</v>
      </c>
      <c r="G104" s="8" t="n"/>
      <c r="H104" s="8" t="n"/>
    </row>
    <row r="105">
      <c r="A105" s="9" t="inlineStr">
        <is>
          <t>JOB-1249 — Desainer Grafis</t>
        </is>
      </c>
      <c r="B105" s="13" t="n">
        <v>0.3</v>
      </c>
      <c r="C105" s="13" t="n">
        <v>0.86</v>
      </c>
      <c r="D105" s="13" t="n">
        <v>1</v>
      </c>
      <c r="E105" s="13" t="n">
        <v>0.7</v>
      </c>
      <c r="F105" s="13" t="n">
        <v>0</v>
      </c>
      <c r="G105" s="8" t="n"/>
      <c r="H105" s="8" t="n"/>
    </row>
    <row r="106">
      <c r="A106" s="9" t="inlineStr">
        <is>
          <t>JOB-1189 — Tutor Conversation SMA - JAKARTA SELATAN</t>
        </is>
      </c>
      <c r="B106" s="13" t="n">
        <v>1</v>
      </c>
      <c r="C106" s="13" t="n">
        <v>0.8</v>
      </c>
      <c r="D106" s="13" t="n">
        <v>0.8</v>
      </c>
      <c r="E106" s="13" t="n">
        <v>0.9</v>
      </c>
      <c r="F106" s="13" t="n">
        <v>0</v>
      </c>
      <c r="G106" s="8" t="n"/>
      <c r="H106" s="8" t="n"/>
    </row>
    <row r="107">
      <c r="A107" s="9" t="inlineStr">
        <is>
          <t>JOB-1194 — [Part-time] - Pengajar Bahasa Inggris - Jakarta Barat</t>
        </is>
      </c>
      <c r="B107" s="13" t="n">
        <v>1</v>
      </c>
      <c r="C107" s="13" t="n">
        <v>1.29</v>
      </c>
      <c r="D107" s="13" t="n">
        <v>1</v>
      </c>
      <c r="E107" s="13" t="n">
        <v>0.7</v>
      </c>
      <c r="F107" s="13" t="n">
        <v>0</v>
      </c>
      <c r="G107" s="8" t="n"/>
      <c r="H107" s="8" t="n"/>
    </row>
    <row r="108">
      <c r="A108" s="9" t="inlineStr">
        <is>
          <t>JOB-1084 — Crew Outlet Fried Chicken (Depok)</t>
        </is>
      </c>
      <c r="B108" s="13" t="n">
        <v>0.3</v>
      </c>
      <c r="C108" s="13" t="n">
        <v>0.71</v>
      </c>
      <c r="D108" s="13" t="n">
        <v>0.4</v>
      </c>
      <c r="E108" s="13" t="n">
        <v>1</v>
      </c>
      <c r="F108" s="13" t="n">
        <v>0.15</v>
      </c>
      <c r="G108" s="8" t="n"/>
      <c r="H108" s="8" t="n"/>
    </row>
    <row r="109">
      <c r="A109" s="9" t="inlineStr">
        <is>
          <t>JOB-1104 — Tour Product and Operation staff</t>
        </is>
      </c>
      <c r="B109" s="13" t="n">
        <v>0.3</v>
      </c>
      <c r="C109" s="13" t="n">
        <v>1.43</v>
      </c>
      <c r="D109" s="13" t="n">
        <v>1</v>
      </c>
      <c r="E109" s="13" t="n">
        <v>0.7</v>
      </c>
      <c r="F109" s="13" t="n">
        <v>0</v>
      </c>
      <c r="G109" s="8" t="n"/>
      <c r="H109" s="8" t="n"/>
    </row>
    <row r="110">
      <c r="A110" s="9" t="inlineStr">
        <is>
          <t>JOB-1166 — Mandarin Tutor</t>
        </is>
      </c>
      <c r="B110" s="13" t="n">
        <v>1</v>
      </c>
      <c r="C110" s="13" t="n">
        <v>1.14</v>
      </c>
      <c r="D110" s="13" t="n">
        <v>1</v>
      </c>
      <c r="E110" s="13" t="n">
        <v>0.8</v>
      </c>
      <c r="F110" s="13" t="n">
        <v>0</v>
      </c>
      <c r="G110" s="8" t="n"/>
      <c r="H110" s="8" t="n"/>
    </row>
    <row r="111">
      <c r="A111" s="9" t="inlineStr">
        <is>
          <t>JOB-1337 — Dosen Pendidikan</t>
        </is>
      </c>
      <c r="B111" s="13" t="n">
        <v>1</v>
      </c>
      <c r="C111" s="13" t="n">
        <v>0.86</v>
      </c>
      <c r="D111" s="13" t="n">
        <v>1</v>
      </c>
      <c r="E111" s="13" t="n">
        <v>1</v>
      </c>
      <c r="F111" s="13" t="n">
        <v>0</v>
      </c>
      <c r="G111" s="8" t="n"/>
      <c r="H111" s="8" t="n"/>
    </row>
    <row r="112">
      <c r="A112" s="9" t="inlineStr">
        <is>
          <t>JOB-1269 — Guru Bahasa Inggris</t>
        </is>
      </c>
      <c r="B112" s="13" t="n">
        <v>1</v>
      </c>
      <c r="C112" s="13" t="n">
        <v>1</v>
      </c>
      <c r="D112" s="13" t="n">
        <v>0.4</v>
      </c>
      <c r="E112" s="13" t="n">
        <v>0.7</v>
      </c>
      <c r="F112" s="13" t="n">
        <v>0</v>
      </c>
      <c r="G112" s="8" t="n"/>
      <c r="H112" s="8" t="n"/>
    </row>
    <row r="113">
      <c r="A113" s="9" t="inlineStr">
        <is>
          <t>JOB-1120 — Content Creator</t>
        </is>
      </c>
      <c r="B113" s="13" t="n">
        <v>0.3</v>
      </c>
      <c r="C113" s="13" t="n">
        <v>1.14</v>
      </c>
      <c r="D113" s="13" t="n">
        <v>0.4</v>
      </c>
      <c r="E113" s="13" t="n">
        <v>0.9</v>
      </c>
      <c r="F113" s="13" t="n">
        <v>0</v>
      </c>
      <c r="G113" s="8" t="n"/>
      <c r="H113" s="8" t="n"/>
    </row>
    <row r="114">
      <c r="A114" s="9" t="inlineStr">
        <is>
          <t>JOB-1306 — Penerjemah Bahasa Korea</t>
        </is>
      </c>
      <c r="B114" s="13" t="n">
        <v>0.3</v>
      </c>
      <c r="C114" s="13" t="n">
        <v>1.09</v>
      </c>
      <c r="D114" s="13" t="n">
        <v>1</v>
      </c>
      <c r="E114" s="13" t="n">
        <v>0.8</v>
      </c>
      <c r="F114" s="13" t="n">
        <v>0</v>
      </c>
      <c r="G114" s="8" t="n"/>
      <c r="H114" s="8" t="n"/>
    </row>
    <row r="115">
      <c r="A115" s="9" t="inlineStr">
        <is>
          <t>JOB-1322 — Guru IPS</t>
        </is>
      </c>
      <c r="B115" s="13" t="n">
        <v>1</v>
      </c>
      <c r="C115" s="13" t="n">
        <v>0.71</v>
      </c>
      <c r="D115" s="13" t="n">
        <v>0.4</v>
      </c>
      <c r="E115" s="13" t="n">
        <v>0.7</v>
      </c>
      <c r="F115" s="13" t="n">
        <v>0</v>
      </c>
      <c r="G115" s="8" t="n"/>
      <c r="H115" s="8" t="n"/>
    </row>
    <row r="116">
      <c r="A116" s="9" t="inlineStr">
        <is>
          <t>JOB-1403 — Barista</t>
        </is>
      </c>
      <c r="B116" s="13" t="n">
        <v>0.3</v>
      </c>
      <c r="C116" s="13" t="n">
        <v>1.29</v>
      </c>
      <c r="D116" s="13" t="n">
        <v>0.8</v>
      </c>
      <c r="E116" s="13" t="n">
        <v>1</v>
      </c>
      <c r="F116" s="13" t="n">
        <v>0</v>
      </c>
      <c r="G116" s="8" t="n"/>
      <c r="H116" s="8" t="n"/>
    </row>
    <row r="117">
      <c r="A117" s="9" t="inlineStr">
        <is>
          <t>JOB-1037 — Master Teacher Kimia</t>
        </is>
      </c>
      <c r="B117" s="13" t="n">
        <v>1</v>
      </c>
      <c r="C117" s="13" t="n">
        <v>1.14</v>
      </c>
      <c r="D117" s="13" t="n">
        <v>0.4</v>
      </c>
      <c r="E117" s="13" t="n">
        <v>0.7</v>
      </c>
      <c r="F117" s="13" t="n">
        <v>0</v>
      </c>
      <c r="G117" s="8" t="n"/>
      <c r="H117" s="8" t="n"/>
    </row>
    <row r="118">
      <c r="A118" s="9" t="inlineStr">
        <is>
          <t>JOB-1254 — Asisten Desain Grafis</t>
        </is>
      </c>
      <c r="B118" s="13" t="n">
        <v>0.3</v>
      </c>
      <c r="C118" s="13" t="n">
        <v>1.14</v>
      </c>
      <c r="D118" s="13" t="n">
        <v>1</v>
      </c>
      <c r="E118" s="13" t="n">
        <v>1</v>
      </c>
      <c r="F118" s="13" t="n">
        <v>0</v>
      </c>
      <c r="G118" s="8" t="n"/>
      <c r="H118" s="8" t="n"/>
    </row>
    <row r="119">
      <c r="A119" s="9" t="inlineStr">
        <is>
          <t>JOB-1060 — Business Development Manulife Indonesia</t>
        </is>
      </c>
      <c r="B119" s="13" t="n">
        <v>0.3</v>
      </c>
      <c r="C119" s="13" t="n">
        <v>1.09</v>
      </c>
      <c r="D119" s="13" t="n">
        <v>0.4</v>
      </c>
      <c r="E119" s="13" t="n">
        <v>0.9</v>
      </c>
      <c r="F119" s="13" t="n">
        <v>0</v>
      </c>
      <c r="G119" s="8" t="n"/>
      <c r="H119" s="8" t="n"/>
    </row>
    <row r="120">
      <c r="A120" s="9" t="inlineStr">
        <is>
          <t>JOB-1112 — Staff</t>
        </is>
      </c>
      <c r="B120" s="13" t="n">
        <v>0.3</v>
      </c>
      <c r="C120" s="13" t="n">
        <v>1</v>
      </c>
      <c r="D120" s="13" t="n">
        <v>0.4</v>
      </c>
      <c r="E120" s="13" t="n">
        <v>1</v>
      </c>
      <c r="F120" s="13" t="n">
        <v>0</v>
      </c>
      <c r="G120" s="8" t="n"/>
      <c r="H120" s="8" t="n"/>
    </row>
    <row r="121">
      <c r="A121" s="9" t="inlineStr">
        <is>
          <t>JOB-1291 — Daily On-Call Crew</t>
        </is>
      </c>
      <c r="B121" s="13" t="n">
        <v>0.3</v>
      </c>
      <c r="C121" s="13" t="n">
        <v>0.71</v>
      </c>
      <c r="D121" s="13" t="n">
        <v>1</v>
      </c>
      <c r="E121" s="13" t="n">
        <v>1</v>
      </c>
      <c r="F121" s="13" t="n">
        <v>0</v>
      </c>
      <c r="G121" s="8" t="n"/>
      <c r="H121" s="8" t="n"/>
    </row>
    <row r="122">
      <c r="A122" s="9" t="inlineStr">
        <is>
          <t>JOB-1263 — Terapis Wicara (TW)</t>
        </is>
      </c>
      <c r="B122" s="13" t="n">
        <v>0.3</v>
      </c>
      <c r="C122" s="13" t="n">
        <v>1</v>
      </c>
      <c r="D122" s="13" t="n">
        <v>0.4</v>
      </c>
      <c r="E122" s="13" t="n">
        <v>0.9</v>
      </c>
      <c r="F122" s="13" t="n">
        <v>0</v>
      </c>
      <c r="G122" s="8" t="n"/>
      <c r="H122" s="8" t="n"/>
    </row>
    <row r="123">
      <c r="A123" s="9" t="inlineStr">
        <is>
          <t>JOB-1151 — kitchen</t>
        </is>
      </c>
      <c r="B123" s="13" t="n">
        <v>0.3</v>
      </c>
      <c r="C123" s="13" t="n">
        <v>1.09</v>
      </c>
      <c r="D123" s="13" t="n">
        <v>0.4</v>
      </c>
      <c r="E123" s="13" t="n">
        <v>0.7</v>
      </c>
      <c r="F123" s="13" t="n">
        <v>1</v>
      </c>
      <c r="G123" s="8" t="n"/>
      <c r="H123" s="8" t="n"/>
    </row>
    <row r="124">
      <c r="A124" s="9" t="inlineStr">
        <is>
          <t>JOB-1343 — Pelatih Tari Tradisional</t>
        </is>
      </c>
      <c r="B124" s="13" t="n">
        <v>1</v>
      </c>
      <c r="C124" s="13" t="n">
        <v>1</v>
      </c>
      <c r="D124" s="13" t="n">
        <v>0.4</v>
      </c>
      <c r="E124" s="13" t="n">
        <v>0.9</v>
      </c>
      <c r="F124" s="13" t="n">
        <v>0</v>
      </c>
      <c r="G124" s="8" t="n"/>
      <c r="H124" s="8" t="n"/>
    </row>
    <row r="125">
      <c r="A125" s="9" t="inlineStr">
        <is>
          <t>JOB-1199 — Video Content Creator</t>
        </is>
      </c>
      <c r="B125" s="13" t="n">
        <v>0.3</v>
      </c>
      <c r="C125" s="13" t="n">
        <v>0.71</v>
      </c>
      <c r="D125" s="13" t="n">
        <v>1</v>
      </c>
      <c r="E125" s="13" t="n">
        <v>0.95</v>
      </c>
      <c r="F125" s="13" t="n">
        <v>0</v>
      </c>
      <c r="G125" s="8" t="n"/>
      <c r="H125" s="8" t="n"/>
    </row>
    <row r="126">
      <c r="A126" s="9" t="inlineStr">
        <is>
          <t>JOB-1147 — Tutor Geografi (Inval)</t>
        </is>
      </c>
      <c r="B126" s="13" t="n">
        <v>1</v>
      </c>
      <c r="C126" s="13" t="n">
        <v>1.14</v>
      </c>
      <c r="D126" s="13" t="n">
        <v>0.4</v>
      </c>
      <c r="E126" s="13" t="n">
        <v>0.9</v>
      </c>
      <c r="F126" s="13" t="n">
        <v>0</v>
      </c>
      <c r="G126" s="8" t="n"/>
      <c r="H126" s="8" t="n"/>
    </row>
    <row r="127">
      <c r="A127" s="9" t="inlineStr">
        <is>
          <t>JOB-1335 — Guru Mandarin</t>
        </is>
      </c>
      <c r="B127" s="13" t="n">
        <v>1</v>
      </c>
      <c r="C127" s="13" t="n">
        <v>1</v>
      </c>
      <c r="D127" s="13" t="n">
        <v>0.4</v>
      </c>
      <c r="E127" s="13" t="n">
        <v>0.9</v>
      </c>
      <c r="F127" s="13" t="n">
        <v>0</v>
      </c>
      <c r="G127" s="8" t="n"/>
      <c r="H127" s="8" t="n"/>
    </row>
    <row r="128">
      <c r="A128" s="9" t="inlineStr">
        <is>
          <t>JOB-1311 — Robotics Mentor</t>
        </is>
      </c>
      <c r="B128" s="13" t="n">
        <v>1</v>
      </c>
      <c r="C128" s="13" t="n">
        <v>0.86</v>
      </c>
      <c r="D128" s="13" t="n">
        <v>0.4</v>
      </c>
      <c r="E128" s="13" t="n">
        <v>0.7</v>
      </c>
      <c r="F128" s="13" t="n">
        <v>0.06</v>
      </c>
      <c r="G128" s="8" t="n"/>
      <c r="H128" s="8" t="n"/>
    </row>
    <row r="129">
      <c r="A129" s="9" t="inlineStr">
        <is>
          <t>JOB-1097 — Customer Service Attendence Playground anak Ananda Cileungsi</t>
        </is>
      </c>
      <c r="B129" s="13" t="n">
        <v>0.3</v>
      </c>
      <c r="C129" s="13" t="n">
        <v>1.43</v>
      </c>
      <c r="D129" s="13" t="n">
        <v>0.4</v>
      </c>
      <c r="E129" s="13" t="n">
        <v>0.7</v>
      </c>
      <c r="F129" s="13" t="n">
        <v>0</v>
      </c>
      <c r="G129" s="8" t="n"/>
      <c r="H129" s="8" t="n"/>
    </row>
    <row r="130">
      <c r="A130" s="9" t="inlineStr">
        <is>
          <t>JOB-1144 — Customer Service Part-Time</t>
        </is>
      </c>
      <c r="B130" s="13" t="n">
        <v>0.3</v>
      </c>
      <c r="C130" s="13" t="n">
        <v>0.8</v>
      </c>
      <c r="D130" s="13" t="n">
        <v>1</v>
      </c>
      <c r="E130" s="13" t="n">
        <v>0.7</v>
      </c>
      <c r="F130" s="13" t="n">
        <v>0</v>
      </c>
      <c r="G130" s="8" t="n"/>
      <c r="H130" s="8" t="n"/>
    </row>
    <row r="131">
      <c r="A131" s="9" t="inlineStr">
        <is>
          <t>JOB-1383 — Asisten Kepala TokoPT Gavin Mega PerkasaDipromosik</t>
        </is>
      </c>
      <c r="B131" s="13" t="n">
        <v>0.3</v>
      </c>
      <c r="C131" s="13" t="n">
        <v>1</v>
      </c>
      <c r="D131" s="13" t="n">
        <v>1</v>
      </c>
      <c r="E131" s="13" t="n">
        <v>0.8</v>
      </c>
      <c r="F131" s="13" t="n">
        <v>0</v>
      </c>
      <c r="G131" s="8" t="n"/>
      <c r="H131" s="8" t="n"/>
    </row>
    <row r="132">
      <c r="A132" s="9" t="inlineStr">
        <is>
          <t>JOB-1123 — Tutor Matematika IPA SMA - JAKARTA BARAT</t>
        </is>
      </c>
      <c r="B132" s="13" t="n">
        <v>1</v>
      </c>
      <c r="C132" s="13" t="n">
        <v>0.86</v>
      </c>
      <c r="D132" s="13" t="n">
        <v>1</v>
      </c>
      <c r="E132" s="13" t="n">
        <v>0.9</v>
      </c>
      <c r="F132" s="13" t="n">
        <v>0</v>
      </c>
      <c r="G132" s="8" t="n"/>
      <c r="H132" s="8" t="n"/>
    </row>
    <row r="133">
      <c r="A133" s="9" t="inlineStr">
        <is>
          <t>JOB-1203 — ENGLISH TEACHER FOR KIDS (TK &amp; SD)</t>
        </is>
      </c>
      <c r="B133" s="13" t="n">
        <v>1</v>
      </c>
      <c r="C133" s="13" t="n">
        <v>1</v>
      </c>
      <c r="D133" s="13" t="n">
        <v>0.4</v>
      </c>
      <c r="E133" s="13" t="n">
        <v>0.7</v>
      </c>
      <c r="F133" s="13" t="n">
        <v>0</v>
      </c>
      <c r="G133" s="8" t="n"/>
      <c r="H133" s="8" t="n"/>
    </row>
    <row r="134">
      <c r="A134" s="9" t="inlineStr">
        <is>
          <t>JOB-1247 — Crew Playground</t>
        </is>
      </c>
      <c r="B134" s="13" t="n">
        <v>0.3</v>
      </c>
      <c r="C134" s="13" t="n">
        <v>1.14</v>
      </c>
      <c r="D134" s="13" t="n">
        <v>1</v>
      </c>
      <c r="E134" s="13" t="n">
        <v>0.9</v>
      </c>
      <c r="F134" s="13" t="n">
        <v>0</v>
      </c>
      <c r="G134" s="8" t="n"/>
      <c r="H134" s="8" t="n"/>
    </row>
    <row r="135">
      <c r="A135" s="9" t="inlineStr">
        <is>
          <t>JOB-1334 — Administrasi Staff</t>
        </is>
      </c>
      <c r="B135" s="13" t="n">
        <v>0.3</v>
      </c>
      <c r="C135" s="13" t="n">
        <v>1</v>
      </c>
      <c r="D135" s="13" t="n">
        <v>0.4</v>
      </c>
      <c r="E135" s="13" t="n">
        <v>0.8</v>
      </c>
      <c r="F135" s="13" t="n">
        <v>0</v>
      </c>
      <c r="G135" s="8" t="n"/>
      <c r="H135" s="8" t="n"/>
    </row>
    <row r="136">
      <c r="A136" s="9" t="inlineStr">
        <is>
          <t>JOB-1324 — Guru Rumah Tahfidz</t>
        </is>
      </c>
      <c r="B136" s="13" t="n">
        <v>1</v>
      </c>
      <c r="C136" s="13" t="n">
        <v>1</v>
      </c>
      <c r="D136" s="13" t="n">
        <v>1</v>
      </c>
      <c r="E136" s="13" t="n">
        <v>0.9</v>
      </c>
      <c r="F136" s="13" t="n">
        <v>0</v>
      </c>
      <c r="G136" s="8" t="n"/>
      <c r="H136" s="8" t="n"/>
    </row>
    <row r="137">
      <c r="A137" s="9" t="inlineStr">
        <is>
          <t>JOB-1313 — English Mentor</t>
        </is>
      </c>
      <c r="B137" s="13" t="n">
        <v>1</v>
      </c>
      <c r="C137" s="13" t="n">
        <v>1.09</v>
      </c>
      <c r="D137" s="13" t="n">
        <v>0.4</v>
      </c>
      <c r="E137" s="13" t="n">
        <v>0.9</v>
      </c>
      <c r="F137" s="13" t="n">
        <v>0.06</v>
      </c>
      <c r="G137" s="8" t="n"/>
      <c r="H137" s="8" t="n"/>
    </row>
    <row r="138">
      <c r="A138" s="9" t="inlineStr">
        <is>
          <t>JOB-1325 — Pelatih Olimpiade Sains</t>
        </is>
      </c>
      <c r="B138" s="13" t="n">
        <v>1</v>
      </c>
      <c r="C138" s="13" t="n">
        <v>1</v>
      </c>
      <c r="D138" s="13" t="n">
        <v>1</v>
      </c>
      <c r="E138" s="13" t="n">
        <v>0.8</v>
      </c>
      <c r="F138" s="13" t="n">
        <v>0</v>
      </c>
      <c r="G138" s="8" t="n"/>
      <c r="H138" s="8" t="n"/>
    </row>
    <row r="139">
      <c r="A139" s="9" t="inlineStr">
        <is>
          <t>JOB-1295 — Social Media Specialist</t>
        </is>
      </c>
      <c r="B139" s="13" t="n">
        <v>0.3</v>
      </c>
      <c r="C139" s="13" t="n">
        <v>1</v>
      </c>
      <c r="D139" s="13" t="n">
        <v>1</v>
      </c>
      <c r="E139" s="13" t="n">
        <v>0.7</v>
      </c>
      <c r="F139" s="13" t="n">
        <v>0</v>
      </c>
      <c r="G139" s="8" t="n"/>
      <c r="H139" s="8" t="n"/>
    </row>
    <row r="140">
      <c r="A140" s="9" t="inlineStr">
        <is>
          <t>JOB-1371 — Financial Advisor (Bancassurance) - Jakarta UtaraP</t>
        </is>
      </c>
      <c r="B140" s="13" t="n">
        <v>0.3</v>
      </c>
      <c r="C140" s="13" t="n">
        <v>0.86</v>
      </c>
      <c r="D140" s="13" t="n">
        <v>0.8</v>
      </c>
      <c r="E140" s="13" t="n">
        <v>0.8</v>
      </c>
      <c r="F140" s="13" t="n">
        <v>0</v>
      </c>
      <c r="G140" s="8" t="n"/>
      <c r="H140" s="8" t="n"/>
    </row>
    <row r="141">
      <c r="A141" s="9" t="inlineStr">
        <is>
          <t>JOB-1332 — Asisten Apoteker / TTK</t>
        </is>
      </c>
      <c r="B141" s="13" t="n">
        <v>0.3</v>
      </c>
      <c r="C141" s="13" t="n">
        <v>1</v>
      </c>
      <c r="D141" s="13" t="n">
        <v>1</v>
      </c>
      <c r="E141" s="13" t="n">
        <v>0.8</v>
      </c>
      <c r="F141" s="13" t="n">
        <v>0</v>
      </c>
      <c r="G141" s="8" t="n"/>
      <c r="H141" s="8" t="n"/>
    </row>
    <row r="142">
      <c r="A142" s="9" t="inlineStr">
        <is>
          <t>JOB-1180 — GURU PRIVATE CALISTUNG &amp; ENGLISH JAKARTA TIMUR</t>
        </is>
      </c>
      <c r="B142" s="13" t="n">
        <v>1</v>
      </c>
      <c r="C142" s="13" t="n">
        <v>0.86</v>
      </c>
      <c r="D142" s="13" t="n">
        <v>1</v>
      </c>
      <c r="E142" s="13" t="n">
        <v>0.8</v>
      </c>
      <c r="F142" s="13" t="n">
        <v>0.06</v>
      </c>
      <c r="G142" s="8" t="n"/>
      <c r="H142" s="8" t="n"/>
    </row>
    <row r="143">
      <c r="A143" s="9" t="inlineStr">
        <is>
          <t>JOB-1370 — Kolektor Lapangan (Depok/Jakarta Selatan)PT Sarwa</t>
        </is>
      </c>
      <c r="B143" s="13" t="n">
        <v>0.3</v>
      </c>
      <c r="C143" s="13" t="n">
        <v>1</v>
      </c>
      <c r="D143" s="13" t="n">
        <v>0.8</v>
      </c>
      <c r="E143" s="13" t="n">
        <v>0.9</v>
      </c>
      <c r="F143" s="13" t="n">
        <v>0</v>
      </c>
      <c r="G143" s="8" t="n"/>
      <c r="H143" s="8" t="n"/>
    </row>
    <row r="144">
      <c r="A144" s="9" t="inlineStr">
        <is>
          <t>JOB-1361 — Welder GMAW Co</t>
        </is>
      </c>
      <c r="B144" s="13" t="n">
        <v>0.3</v>
      </c>
      <c r="C144" s="13" t="n">
        <v>1.2</v>
      </c>
      <c r="D144" s="13" t="n">
        <v>1</v>
      </c>
      <c r="E144" s="13" t="n">
        <v>0.8</v>
      </c>
      <c r="F144" s="13" t="n">
        <v>0</v>
      </c>
      <c r="G144" s="8" t="n"/>
      <c r="H144" s="8" t="n"/>
    </row>
    <row r="145">
      <c r="A145" s="9" t="inlineStr">
        <is>
          <t>JOB-1315 — Host Live Streaming</t>
        </is>
      </c>
      <c r="B145" s="13" t="n">
        <v>0.3</v>
      </c>
      <c r="C145" s="13" t="n">
        <v>1.09</v>
      </c>
      <c r="D145" s="13" t="n">
        <v>0.4</v>
      </c>
      <c r="E145" s="13" t="n">
        <v>0.8</v>
      </c>
      <c r="F145" s="13" t="n">
        <v>0</v>
      </c>
      <c r="G145" s="8" t="n"/>
      <c r="H145" s="8" t="n"/>
    </row>
    <row r="146">
      <c r="A146" s="9" t="inlineStr">
        <is>
          <t>JOB-1152 — GURU BAHASA INGGRIS - JAKARTA SELATAN &amp; SEKITARNYA</t>
        </is>
      </c>
      <c r="B146" s="13" t="n">
        <v>1</v>
      </c>
      <c r="C146" s="13" t="n">
        <v>1</v>
      </c>
      <c r="D146" s="13" t="n">
        <v>0.8</v>
      </c>
      <c r="E146" s="13" t="n">
        <v>0.9</v>
      </c>
      <c r="F146" s="13" t="n">
        <v>0</v>
      </c>
      <c r="G146" s="8" t="n"/>
      <c r="H146" s="8" t="n"/>
    </row>
    <row r="147">
      <c r="A147" s="9" t="inlineStr">
        <is>
          <t>JOB-1393 — Part Time Guru Robotik wilayah Depok</t>
        </is>
      </c>
      <c r="B147" s="13" t="n">
        <v>0.3</v>
      </c>
      <c r="C147" s="13" t="n">
        <v>0.8</v>
      </c>
      <c r="D147" s="13" t="n">
        <v>0.4</v>
      </c>
      <c r="E147" s="13" t="n">
        <v>1</v>
      </c>
      <c r="F147" s="13" t="n">
        <v>0</v>
      </c>
      <c r="G147" s="8" t="n"/>
      <c r="H147" s="8" t="n"/>
    </row>
    <row r="148">
      <c r="A148" s="9" t="inlineStr">
        <is>
          <t>JOB-1234 — Graphic Designer</t>
        </is>
      </c>
      <c r="B148" s="13" t="n">
        <v>0.3</v>
      </c>
      <c r="C148" s="13" t="n">
        <v>1.09</v>
      </c>
      <c r="D148" s="13" t="n">
        <v>1</v>
      </c>
      <c r="E148" s="13" t="n">
        <v>0.8</v>
      </c>
      <c r="F148" s="13" t="n">
        <v>0</v>
      </c>
      <c r="G148" s="8" t="n"/>
      <c r="H148" s="8" t="n"/>
    </row>
    <row r="149">
      <c r="A149" s="9" t="inlineStr">
        <is>
          <t>JOB-1165 — Promotor</t>
        </is>
      </c>
      <c r="B149" s="13" t="n">
        <v>0.3</v>
      </c>
      <c r="C149" s="13" t="n">
        <v>0.93</v>
      </c>
      <c r="D149" s="13" t="n">
        <v>1</v>
      </c>
      <c r="E149" s="13" t="n">
        <v>0.9</v>
      </c>
      <c r="F149" s="13" t="n">
        <v>0.04</v>
      </c>
      <c r="G149" s="8" t="n"/>
      <c r="H149" s="8" t="n"/>
    </row>
    <row r="150">
      <c r="A150" s="9" t="inlineStr">
        <is>
          <t>JOB-1259 — Remote Online English Teacher | Indonesia</t>
        </is>
      </c>
      <c r="B150" s="13" t="n">
        <v>1</v>
      </c>
      <c r="C150" s="13" t="n">
        <v>1</v>
      </c>
      <c r="D150" s="13" t="n">
        <v>1</v>
      </c>
      <c r="E150" s="13" t="n">
        <v>0.9</v>
      </c>
      <c r="F150" s="13" t="n">
        <v>0</v>
      </c>
      <c r="G150" s="8" t="n"/>
      <c r="H150" s="8" t="n"/>
    </row>
    <row r="151">
      <c r="A151" s="9" t="inlineStr">
        <is>
          <t>JOB-1233 — Mandarin Translator (Part Time)</t>
        </is>
      </c>
      <c r="B151" s="13" t="n">
        <v>1</v>
      </c>
      <c r="C151" s="13" t="n">
        <v>1.29</v>
      </c>
      <c r="D151" s="13" t="n">
        <v>1</v>
      </c>
      <c r="E151" s="13" t="n">
        <v>0.9</v>
      </c>
      <c r="F151" s="13" t="n">
        <v>0</v>
      </c>
      <c r="G151" s="8" t="n"/>
      <c r="H151" s="8" t="n"/>
    </row>
    <row r="152">
      <c r="A152" s="9" t="inlineStr">
        <is>
          <t>JOB-1121 — Trainer Part Time</t>
        </is>
      </c>
      <c r="B152" s="13" t="n">
        <v>0.3</v>
      </c>
      <c r="C152" s="13" t="n">
        <v>1</v>
      </c>
      <c r="D152" s="13" t="n">
        <v>0.8</v>
      </c>
      <c r="E152" s="13" t="n">
        <v>0.8</v>
      </c>
      <c r="F152" s="13" t="n">
        <v>0</v>
      </c>
      <c r="G152" s="8" t="n"/>
      <c r="H152" s="8" t="n"/>
    </row>
    <row r="153">
      <c r="A153" s="9" t="inlineStr">
        <is>
          <t>JOB-1225 — Temporary Office Boy Bekasi Area</t>
        </is>
      </c>
      <c r="B153" s="13" t="n">
        <v>0.3</v>
      </c>
      <c r="C153" s="13" t="n">
        <v>1.29</v>
      </c>
      <c r="D153" s="13" t="n">
        <v>0.4</v>
      </c>
      <c r="E153" s="13" t="n">
        <v>0.8</v>
      </c>
      <c r="F153" s="13" t="n">
        <v>0</v>
      </c>
      <c r="G153" s="8" t="n"/>
      <c r="H153" s="8" t="n"/>
    </row>
    <row r="154">
      <c r="A154" s="9" t="inlineStr">
        <is>
          <t>JOB-1128 — Kitchen worker</t>
        </is>
      </c>
      <c r="B154" s="13" t="n">
        <v>0.3</v>
      </c>
      <c r="C154" s="13" t="n">
        <v>1.14</v>
      </c>
      <c r="D154" s="13" t="n">
        <v>0.8</v>
      </c>
      <c r="E154" s="13" t="n">
        <v>1</v>
      </c>
      <c r="F154" s="13" t="n">
        <v>0</v>
      </c>
      <c r="G154" s="8" t="n"/>
      <c r="H154" s="8" t="n"/>
    </row>
    <row r="155">
      <c r="A155" s="9" t="inlineStr">
        <is>
          <t>JOB-1286 — Dokter Spesialis Intervensi Muskuloskeletal</t>
        </is>
      </c>
      <c r="B155" s="13" t="n">
        <v>0.3</v>
      </c>
      <c r="C155" s="13" t="n">
        <v>1</v>
      </c>
      <c r="D155" s="13" t="n">
        <v>1</v>
      </c>
      <c r="E155" s="13" t="n">
        <v>0.9</v>
      </c>
      <c r="F155" s="13" t="n">
        <v>0</v>
      </c>
      <c r="G155" s="8" t="n"/>
      <c r="H155" s="8" t="n"/>
    </row>
    <row r="156">
      <c r="A156" s="9" t="inlineStr">
        <is>
          <t>JOB-1356 — Barista Keliling</t>
        </is>
      </c>
      <c r="B156" s="13" t="n">
        <v>0.3</v>
      </c>
      <c r="C156" s="13" t="n">
        <v>0.71</v>
      </c>
      <c r="D156" s="13" t="n">
        <v>0.4</v>
      </c>
      <c r="E156" s="13" t="n">
        <v>0.9</v>
      </c>
      <c r="F156" s="13" t="n">
        <v>0.05</v>
      </c>
      <c r="G156" s="8" t="n"/>
      <c r="H156" s="8" t="n"/>
    </row>
    <row r="157">
      <c r="A157" s="9" t="inlineStr">
        <is>
          <t>JOB-1134 — kitchen</t>
        </is>
      </c>
      <c r="B157" s="13" t="n">
        <v>0.3</v>
      </c>
      <c r="C157" s="13" t="n">
        <v>0.86</v>
      </c>
      <c r="D157" s="13" t="n">
        <v>0.4</v>
      </c>
      <c r="E157" s="13" t="n">
        <v>0.7</v>
      </c>
      <c r="F157" s="13" t="n">
        <v>0</v>
      </c>
      <c r="G157" s="8" t="n"/>
      <c r="H157" s="8" t="n"/>
    </row>
    <row r="158">
      <c r="A158" s="9" t="inlineStr">
        <is>
          <t>JOB-1045 — Part-Time Programming Teacher Svarna Sutera</t>
        </is>
      </c>
      <c r="B158" s="13" t="n">
        <v>1</v>
      </c>
      <c r="C158" s="13" t="n">
        <v>0.8</v>
      </c>
      <c r="D158" s="13" t="n">
        <v>0.4</v>
      </c>
      <c r="E158" s="13" t="n">
        <v>1</v>
      </c>
      <c r="F158" s="13" t="n">
        <v>0</v>
      </c>
      <c r="G158" s="8" t="n"/>
      <c r="H158" s="8" t="n"/>
    </row>
    <row r="159">
      <c r="A159" s="9" t="inlineStr">
        <is>
          <t>JOB-1066 — Teknisi</t>
        </is>
      </c>
      <c r="B159" s="13" t="n">
        <v>0.3</v>
      </c>
      <c r="C159" s="13" t="n">
        <v>1.29</v>
      </c>
      <c r="D159" s="13" t="n">
        <v>1</v>
      </c>
      <c r="E159" s="13" t="n">
        <v>0.9</v>
      </c>
      <c r="F159" s="13" t="n">
        <v>0</v>
      </c>
      <c r="G159" s="8" t="n"/>
      <c r="H159" s="8" t="n"/>
    </row>
    <row r="160">
      <c r="A160" s="9" t="inlineStr">
        <is>
          <t>JOB-1086 — Hostlive streaming parttime</t>
        </is>
      </c>
      <c r="B160" s="13" t="n">
        <v>0.3</v>
      </c>
      <c r="C160" s="13" t="n">
        <v>1.29</v>
      </c>
      <c r="D160" s="13" t="n">
        <v>0.4</v>
      </c>
      <c r="E160" s="13" t="n">
        <v>0.8</v>
      </c>
      <c r="F160" s="13" t="n">
        <v>0</v>
      </c>
      <c r="G160" s="8" t="n"/>
      <c r="H160" s="8" t="n"/>
    </row>
    <row r="161">
      <c r="A161" s="9" t="inlineStr">
        <is>
          <t>JOB-1243 — Part Time Kitchen Crew - Resto NonHalal Crackling Gading Serpong</t>
        </is>
      </c>
      <c r="B161" s="13" t="n">
        <v>0.3</v>
      </c>
      <c r="C161" s="13" t="n">
        <v>1.09</v>
      </c>
      <c r="D161" s="13" t="n">
        <v>0.4</v>
      </c>
      <c r="E161" s="13" t="n">
        <v>1</v>
      </c>
      <c r="F161" s="13" t="n">
        <v>0.05</v>
      </c>
      <c r="G161" s="8" t="n"/>
      <c r="H161" s="8" t="n"/>
    </row>
    <row r="162">
      <c r="A162" s="9" t="inlineStr">
        <is>
          <t>JOB-1160 — German Tutor (Part-time / Evening Class – Remote)</t>
        </is>
      </c>
      <c r="B162" s="13" t="n">
        <v>1</v>
      </c>
      <c r="C162" s="13" t="n">
        <v>1.09</v>
      </c>
      <c r="D162" s="13" t="n">
        <v>1</v>
      </c>
      <c r="E162" s="13" t="n">
        <v>0.7</v>
      </c>
      <c r="F162" s="13" t="n">
        <v>0</v>
      </c>
      <c r="G162" s="8" t="n"/>
      <c r="H162" s="8" t="n"/>
    </row>
    <row r="163">
      <c r="A163" s="9" t="inlineStr">
        <is>
          <t>JOB-1013 — Content Creator</t>
        </is>
      </c>
      <c r="B163" s="13" t="n">
        <v>0.3</v>
      </c>
      <c r="C163" s="13" t="n">
        <v>1.09</v>
      </c>
      <c r="D163" s="13" t="n">
        <v>1</v>
      </c>
      <c r="E163" s="13" t="n">
        <v>0.8</v>
      </c>
      <c r="F163" s="13" t="n">
        <v>0</v>
      </c>
      <c r="G163" s="8" t="n"/>
      <c r="H163" s="8" t="n"/>
    </row>
    <row r="164">
      <c r="A164" s="9" t="inlineStr">
        <is>
          <t>JOB-1036 — English Teacher</t>
        </is>
      </c>
      <c r="B164" s="13" t="n">
        <v>1</v>
      </c>
      <c r="C164" s="13" t="n">
        <v>0.8</v>
      </c>
      <c r="D164" s="13" t="n">
        <v>1</v>
      </c>
      <c r="E164" s="13" t="n">
        <v>0.8</v>
      </c>
      <c r="F164" s="13" t="n">
        <v>0</v>
      </c>
      <c r="G164" s="8" t="n"/>
      <c r="H164" s="8" t="n"/>
    </row>
    <row r="165">
      <c r="A165" s="9" t="inlineStr">
        <is>
          <t>JOB-1222 — Kurir Motor</t>
        </is>
      </c>
      <c r="B165" s="13" t="n">
        <v>0.3</v>
      </c>
      <c r="C165" s="13" t="n">
        <v>1.29</v>
      </c>
      <c r="D165" s="13" t="n">
        <v>0.4</v>
      </c>
      <c r="E165" s="13" t="n">
        <v>0.9</v>
      </c>
      <c r="F165" s="13" t="n">
        <v>0</v>
      </c>
      <c r="G165" s="8" t="n"/>
      <c r="H165" s="8" t="n"/>
    </row>
    <row r="166">
      <c r="A166" s="9" t="inlineStr">
        <is>
          <t>JOB-1352 — Rider Motor Listrik</t>
        </is>
      </c>
      <c r="B166" s="13" t="n">
        <v>0.3</v>
      </c>
      <c r="C166" s="13" t="n">
        <v>0.77</v>
      </c>
      <c r="D166" s="13" t="n">
        <v>1</v>
      </c>
      <c r="E166" s="13" t="n">
        <v>0.9</v>
      </c>
      <c r="F166" s="13" t="n">
        <v>0.05</v>
      </c>
      <c r="G166" s="8" t="n"/>
      <c r="H166" s="8" t="n"/>
    </row>
    <row r="167">
      <c r="A167" s="9" t="inlineStr">
        <is>
          <t>JOB-1179 — Tutor MIPA SMP (Part Time)</t>
        </is>
      </c>
      <c r="B167" s="13" t="n">
        <v>1</v>
      </c>
      <c r="C167" s="13" t="n">
        <v>0.86</v>
      </c>
      <c r="D167" s="13" t="n">
        <v>0.4</v>
      </c>
      <c r="E167" s="13" t="n">
        <v>0.9</v>
      </c>
      <c r="F167" s="13" t="n">
        <v>0</v>
      </c>
      <c r="G167" s="8" t="n"/>
      <c r="H167" s="8" t="n"/>
    </row>
    <row r="168">
      <c r="A168" s="9" t="inlineStr">
        <is>
          <t>JOB-1207 — Part-Time Teacher Programming (Weekend Only)</t>
        </is>
      </c>
      <c r="B168" s="13" t="n">
        <v>1</v>
      </c>
      <c r="C168" s="13" t="n">
        <v>1.29</v>
      </c>
      <c r="D168" s="13" t="n">
        <v>0.4</v>
      </c>
      <c r="E168" s="13" t="n">
        <v>1</v>
      </c>
      <c r="F168" s="13" t="n">
        <v>0</v>
      </c>
      <c r="G168" s="8" t="n"/>
      <c r="H168" s="8" t="n"/>
    </row>
    <row r="169">
      <c r="A169" s="9" t="inlineStr">
        <is>
          <t>JOB-1359 — Barista Keliling</t>
        </is>
      </c>
      <c r="B169" s="13" t="n">
        <v>0.3</v>
      </c>
      <c r="C169" s="13" t="n">
        <v>1.2</v>
      </c>
      <c r="D169" s="13" t="n">
        <v>0.4</v>
      </c>
      <c r="E169" s="13" t="n">
        <v>0.7</v>
      </c>
      <c r="F169" s="13" t="n">
        <v>0</v>
      </c>
      <c r="G169" s="8" t="n"/>
      <c r="H169" s="8" t="n"/>
    </row>
    <row r="170">
      <c r="A170" s="9" t="inlineStr">
        <is>
          <t>JOB-1255 — Japanese Tutor / Pengajar Bahasa Jepang - Jakarta (Part Time)</t>
        </is>
      </c>
      <c r="B170" s="13" t="n">
        <v>1</v>
      </c>
      <c r="C170" s="13" t="n">
        <v>1.29</v>
      </c>
      <c r="D170" s="13" t="n">
        <v>0.8</v>
      </c>
      <c r="E170" s="13" t="n">
        <v>0.9</v>
      </c>
      <c r="F170" s="13" t="n">
        <v>0</v>
      </c>
      <c r="G170" s="8" t="n"/>
      <c r="H170" s="8" t="n"/>
    </row>
    <row r="171">
      <c r="A171" s="9" t="inlineStr">
        <is>
          <t>JOB-1005 — Teacher Part Time Coding &amp; Robotic (AREA SOLO) WFO</t>
        </is>
      </c>
      <c r="B171" s="13" t="n">
        <v>0.3</v>
      </c>
      <c r="C171" s="13" t="n">
        <v>1.29</v>
      </c>
      <c r="D171" s="13" t="n">
        <v>0.4</v>
      </c>
      <c r="E171" s="13" t="n">
        <v>0.7</v>
      </c>
      <c r="F171" s="13" t="n">
        <v>0</v>
      </c>
      <c r="G171" s="8" t="n"/>
      <c r="H171" s="8" t="n"/>
    </row>
    <row r="172">
      <c r="A172" s="9" t="inlineStr">
        <is>
          <t>JOB-1257 — Teknisi/IT (Network Internet Service Provider)</t>
        </is>
      </c>
      <c r="B172" s="13" t="n">
        <v>0.3</v>
      </c>
      <c r="C172" s="13" t="n">
        <v>0.86</v>
      </c>
      <c r="D172" s="13" t="n">
        <v>1</v>
      </c>
      <c r="E172" s="13" t="n">
        <v>0.8</v>
      </c>
      <c r="F172" s="13" t="n">
        <v>0</v>
      </c>
      <c r="G172" s="8" t="n"/>
      <c r="H172" s="8" t="n"/>
    </row>
    <row r="173">
      <c r="A173" s="9" t="inlineStr">
        <is>
          <t>JOB-1214 — Education Consultant</t>
        </is>
      </c>
      <c r="B173" s="13" t="n">
        <v>1</v>
      </c>
      <c r="C173" s="13" t="n">
        <v>0.86</v>
      </c>
      <c r="D173" s="13" t="n">
        <v>1</v>
      </c>
      <c r="E173" s="13" t="n">
        <v>0.7</v>
      </c>
      <c r="F173" s="13" t="n">
        <v>0</v>
      </c>
      <c r="G173" s="8" t="n"/>
      <c r="H173" s="8" t="n"/>
    </row>
    <row r="174">
      <c r="A174" s="9" t="inlineStr">
        <is>
          <t>JOB-1172 — Daily Sales &amp; Field Support</t>
        </is>
      </c>
      <c r="B174" s="13" t="n">
        <v>1</v>
      </c>
      <c r="C174" s="13" t="n">
        <v>1</v>
      </c>
      <c r="D174" s="13" t="n">
        <v>0.4</v>
      </c>
      <c r="E174" s="13" t="n">
        <v>1</v>
      </c>
      <c r="F174" s="13" t="n">
        <v>0</v>
      </c>
      <c r="G174" s="8" t="n"/>
      <c r="H174" s="8" t="n"/>
    </row>
    <row r="175">
      <c r="A175" s="9" t="inlineStr">
        <is>
          <t>JOB-1216 — [Part time] Guru Informatika - Kota Depok</t>
        </is>
      </c>
      <c r="B175" s="13" t="n">
        <v>1</v>
      </c>
      <c r="C175" s="13" t="n">
        <v>1.43</v>
      </c>
      <c r="D175" s="13" t="n">
        <v>0.4</v>
      </c>
      <c r="E175" s="13" t="n">
        <v>0.9</v>
      </c>
      <c r="F175" s="13" t="n">
        <v>0</v>
      </c>
      <c r="G175" s="8" t="n"/>
      <c r="H175" s="8" t="n"/>
    </row>
    <row r="176">
      <c r="A176" s="9" t="inlineStr">
        <is>
          <t>JOB-1033 — PART TIME-KITCHEN</t>
        </is>
      </c>
      <c r="B176" s="13" t="n">
        <v>0.3</v>
      </c>
      <c r="C176" s="13" t="n">
        <v>1</v>
      </c>
      <c r="D176" s="13" t="n">
        <v>0.4</v>
      </c>
      <c r="E176" s="13" t="n">
        <v>0.8</v>
      </c>
      <c r="F176" s="13" t="n">
        <v>0.04</v>
      </c>
      <c r="G176" s="8" t="n"/>
      <c r="H176" s="8" t="n"/>
    </row>
    <row r="177">
      <c r="A177" s="9" t="inlineStr">
        <is>
          <t>JOB-1268 — Dokter</t>
        </is>
      </c>
      <c r="B177" s="13" t="n">
        <v>0.3</v>
      </c>
      <c r="C177" s="13" t="n">
        <v>1</v>
      </c>
      <c r="D177" s="13" t="n">
        <v>1</v>
      </c>
      <c r="E177" s="13" t="n">
        <v>0.7</v>
      </c>
      <c r="F177" s="13" t="n">
        <v>0</v>
      </c>
      <c r="G177" s="8" t="n"/>
      <c r="H177" s="8" t="n"/>
    </row>
    <row r="178">
      <c r="A178" s="9" t="inlineStr">
        <is>
          <t>JOB-1328 — Mandarin Teacher (Laoshi)</t>
        </is>
      </c>
      <c r="B178" s="13" t="n">
        <v>1</v>
      </c>
      <c r="C178" s="13" t="n">
        <v>0.77</v>
      </c>
      <c r="D178" s="13" t="n">
        <v>1</v>
      </c>
      <c r="E178" s="13" t="n">
        <v>0.9</v>
      </c>
      <c r="F178" s="13" t="n">
        <v>0</v>
      </c>
      <c r="G178" s="8" t="n"/>
      <c r="H178" s="8" t="n"/>
    </row>
    <row r="179">
      <c r="A179" s="9" t="inlineStr">
        <is>
          <t>JOB-1379 — ACCOUNT OFFICER / MARKETING CABANG KENDARIPT Kresn</t>
        </is>
      </c>
      <c r="B179" s="13" t="n">
        <v>0.3</v>
      </c>
      <c r="C179" s="13" t="n">
        <v>1</v>
      </c>
      <c r="D179" s="13" t="n">
        <v>1</v>
      </c>
      <c r="E179" s="13" t="n">
        <v>0.7</v>
      </c>
      <c r="F179" s="13" t="n">
        <v>0.04</v>
      </c>
      <c r="G179" s="8" t="n"/>
      <c r="H179" s="8" t="n"/>
    </row>
    <row r="180">
      <c r="A180" s="9" t="inlineStr">
        <is>
          <t>JOB-1392 — Desk CollectionPT Koleksi Andalan NusaDipromosikan</t>
        </is>
      </c>
      <c r="B180" s="13" t="n">
        <v>0.3</v>
      </c>
      <c r="C180" s="13" t="n">
        <v>0.86</v>
      </c>
      <c r="D180" s="13" t="n">
        <v>0.4</v>
      </c>
      <c r="E180" s="13" t="n">
        <v>0.9</v>
      </c>
      <c r="F180" s="13" t="n">
        <v>0</v>
      </c>
      <c r="G180" s="8" t="n"/>
      <c r="H180" s="8" t="n"/>
    </row>
    <row r="181">
      <c r="A181" s="9" t="inlineStr">
        <is>
          <t>JOB-1063 — Psikolog Sekolah</t>
        </is>
      </c>
      <c r="B181" s="13" t="n">
        <v>1</v>
      </c>
      <c r="C181" s="13" t="n">
        <v>0.86</v>
      </c>
      <c r="D181" s="13" t="n">
        <v>0.4</v>
      </c>
      <c r="E181" s="13" t="n">
        <v>0.7</v>
      </c>
      <c r="F181" s="13" t="n">
        <v>0.06</v>
      </c>
      <c r="G181" s="8" t="n"/>
      <c r="H181" s="8" t="n"/>
    </row>
    <row r="182">
      <c r="A182" s="9" t="inlineStr">
        <is>
          <t>JOB-1136 — Content Designer Team</t>
        </is>
      </c>
      <c r="B182" s="13" t="n">
        <v>0.3</v>
      </c>
      <c r="C182" s="13" t="n">
        <v>0.86</v>
      </c>
      <c r="D182" s="13" t="n">
        <v>1</v>
      </c>
      <c r="E182" s="13" t="n">
        <v>0.7</v>
      </c>
      <c r="F182" s="13" t="n">
        <v>0</v>
      </c>
      <c r="G182" s="8" t="n"/>
      <c r="H182" s="8" t="n"/>
    </row>
    <row r="183">
      <c r="A183" s="9" t="inlineStr">
        <is>
          <t>JOB-1129 — E-commerce</t>
        </is>
      </c>
      <c r="B183" s="13" t="n">
        <v>0.3</v>
      </c>
      <c r="C183" s="13" t="n">
        <v>1</v>
      </c>
      <c r="D183" s="13" t="n">
        <v>1</v>
      </c>
      <c r="E183" s="13" t="n">
        <v>1</v>
      </c>
      <c r="F183" s="13" t="n">
        <v>0</v>
      </c>
      <c r="G183" s="8" t="n"/>
      <c r="H183" s="8" t="n"/>
    </row>
    <row r="184">
      <c r="A184" s="9" t="inlineStr">
        <is>
          <t>JOB-1157 — Guru Robotic Dan AI ( Artificial Intelligence )</t>
        </is>
      </c>
      <c r="B184" s="13" t="n">
        <v>1</v>
      </c>
      <c r="C184" s="13" t="n">
        <v>1.09</v>
      </c>
      <c r="D184" s="13" t="n">
        <v>1</v>
      </c>
      <c r="E184" s="13" t="n">
        <v>0.8</v>
      </c>
      <c r="F184" s="13" t="n">
        <v>0.06</v>
      </c>
      <c r="G184" s="8" t="n"/>
      <c r="H184" s="8" t="n"/>
    </row>
    <row r="185">
      <c r="A185" s="9" t="inlineStr">
        <is>
          <t>JOB-1041 — Admin Operasional (Part-Time)</t>
        </is>
      </c>
      <c r="B185" s="13" t="n">
        <v>0.3</v>
      </c>
      <c r="C185" s="13" t="n">
        <v>0.71</v>
      </c>
      <c r="D185" s="13" t="n">
        <v>1</v>
      </c>
      <c r="E185" s="13" t="n">
        <v>1</v>
      </c>
      <c r="F185" s="13" t="n">
        <v>0</v>
      </c>
      <c r="G185" s="8" t="n"/>
      <c r="H185" s="8" t="n"/>
    </row>
    <row r="186">
      <c r="A186" s="9" t="inlineStr">
        <is>
          <t>JOB-1380 — Sales Taking Order - Penempatan DepokPT. Agroka Bu</t>
        </is>
      </c>
      <c r="B186" s="13" t="n">
        <v>1</v>
      </c>
      <c r="C186" s="13" t="n">
        <v>1.14</v>
      </c>
      <c r="D186" s="13" t="n">
        <v>0.4</v>
      </c>
      <c r="E186" s="13" t="n">
        <v>0.9</v>
      </c>
      <c r="F186" s="13" t="n">
        <v>0</v>
      </c>
      <c r="G186" s="8" t="n"/>
      <c r="H186" s="8" t="n"/>
    </row>
    <row r="187">
      <c r="A187" s="9" t="inlineStr">
        <is>
          <t>JOB-1338 — Smoothie Barista</t>
        </is>
      </c>
      <c r="B187" s="13" t="n">
        <v>0.3</v>
      </c>
      <c r="C187" s="13" t="n">
        <v>1</v>
      </c>
      <c r="D187" s="13" t="n">
        <v>1</v>
      </c>
      <c r="E187" s="13" t="n">
        <v>0.9</v>
      </c>
      <c r="F187" s="13" t="n">
        <v>1</v>
      </c>
      <c r="G187" s="8" t="n"/>
      <c r="H187" s="8" t="n"/>
    </row>
    <row r="188">
      <c r="A188" s="9" t="inlineStr">
        <is>
          <t>JOB-1213 — Chinese teacher</t>
        </is>
      </c>
      <c r="B188" s="13" t="n">
        <v>1</v>
      </c>
      <c r="C188" s="13" t="n">
        <v>1.14</v>
      </c>
      <c r="D188" s="13" t="n">
        <v>0.4</v>
      </c>
      <c r="E188" s="13" t="n">
        <v>0.9</v>
      </c>
      <c r="F188" s="13" t="n">
        <v>0</v>
      </c>
      <c r="G188" s="8" t="n"/>
      <c r="H188" s="8" t="n"/>
    </row>
    <row r="189">
      <c r="A189" s="9" t="inlineStr">
        <is>
          <t>JOB-1252 — Videographer</t>
        </is>
      </c>
      <c r="B189" s="13" t="n">
        <v>0.3</v>
      </c>
      <c r="C189" s="13" t="n">
        <v>1</v>
      </c>
      <c r="D189" s="13" t="n">
        <v>1</v>
      </c>
      <c r="E189" s="13" t="n">
        <v>1</v>
      </c>
      <c r="F189" s="13" t="n">
        <v>0</v>
      </c>
      <c r="G189" s="8" t="n"/>
      <c r="H189" s="8" t="n"/>
    </row>
    <row r="190">
      <c r="A190" s="9" t="inlineStr">
        <is>
          <t>JOB-1351 — Guru Mandarin HSK 5</t>
        </is>
      </c>
      <c r="B190" s="13" t="n">
        <v>1</v>
      </c>
      <c r="C190" s="13" t="n">
        <v>1.2</v>
      </c>
      <c r="D190" s="13" t="n">
        <v>1</v>
      </c>
      <c r="E190" s="13" t="n">
        <v>0.9</v>
      </c>
      <c r="F190" s="13" t="n">
        <v>0</v>
      </c>
      <c r="G190" s="8" t="n"/>
      <c r="H190" s="8" t="n"/>
    </row>
    <row r="191">
      <c r="A191" s="9" t="inlineStr">
        <is>
          <t>JOB-1202 — kitchen</t>
        </is>
      </c>
      <c r="B191" s="13" t="n">
        <v>0.3</v>
      </c>
      <c r="C191" s="13" t="n">
        <v>1.43</v>
      </c>
      <c r="D191" s="13" t="n">
        <v>0.8</v>
      </c>
      <c r="E191" s="13" t="n">
        <v>0.8</v>
      </c>
      <c r="F191" s="13" t="n">
        <v>0.05</v>
      </c>
      <c r="G191" s="8" t="n"/>
      <c r="H191" s="8" t="n"/>
    </row>
    <row r="192">
      <c r="A192" s="9" t="inlineStr">
        <is>
          <t>JOB-1162 — Guru Privat Kurikulum Internasional - Jakarta Timur</t>
        </is>
      </c>
      <c r="B192" s="13" t="n">
        <v>1</v>
      </c>
      <c r="C192" s="13" t="n">
        <v>0.8</v>
      </c>
      <c r="D192" s="13" t="n">
        <v>0.8</v>
      </c>
      <c r="E192" s="13" t="n">
        <v>0.9</v>
      </c>
      <c r="F192" s="13" t="n">
        <v>0</v>
      </c>
      <c r="G192" s="8" t="n"/>
      <c r="H192" s="8" t="n"/>
    </row>
    <row r="193">
      <c r="A193" s="9" t="inlineStr">
        <is>
          <t>JOB-1191 — Mitra Cleaning Service Harian (Part-Time) – Jakarta Selatan</t>
        </is>
      </c>
      <c r="B193" s="13" t="n">
        <v>0.3</v>
      </c>
      <c r="C193" s="13" t="n">
        <v>1</v>
      </c>
      <c r="D193" s="13" t="n">
        <v>0.8</v>
      </c>
      <c r="E193" s="13" t="n">
        <v>1</v>
      </c>
      <c r="F193" s="13" t="n">
        <v>0</v>
      </c>
      <c r="G193" s="8" t="n"/>
      <c r="H193" s="8" t="n"/>
    </row>
    <row r="194">
      <c r="A194" s="9" t="inlineStr">
        <is>
          <t>JOB-1310 — Marketing Staff</t>
        </is>
      </c>
      <c r="B194" s="13" t="n">
        <v>0.3</v>
      </c>
      <c r="C194" s="13" t="n">
        <v>0.93</v>
      </c>
      <c r="D194" s="13" t="n">
        <v>0.4</v>
      </c>
      <c r="E194" s="13" t="n">
        <v>1</v>
      </c>
      <c r="F194" s="13" t="n">
        <v>0</v>
      </c>
      <c r="G194" s="8" t="n"/>
      <c r="H194" s="8" t="n"/>
    </row>
    <row r="195">
      <c r="A195" s="9" t="inlineStr">
        <is>
          <t>JOB-1260 — Operator Produksi</t>
        </is>
      </c>
      <c r="B195" s="13" t="n">
        <v>0.3</v>
      </c>
      <c r="C195" s="13" t="n">
        <v>1.43</v>
      </c>
      <c r="D195" s="13" t="n">
        <v>1</v>
      </c>
      <c r="E195" s="13" t="n">
        <v>1</v>
      </c>
      <c r="F195" s="13" t="n">
        <v>0</v>
      </c>
      <c r="G195" s="8" t="n"/>
      <c r="H195" s="8" t="n"/>
    </row>
    <row r="196">
      <c r="A196" s="9" t="inlineStr">
        <is>
          <t>JOB-1054 — Customer Relations Admin - Cab Sumbawa</t>
        </is>
      </c>
      <c r="B196" s="13" t="n">
        <v>0.3</v>
      </c>
      <c r="C196" s="13" t="n">
        <v>0.71</v>
      </c>
      <c r="D196" s="13" t="n">
        <v>1</v>
      </c>
      <c r="E196" s="13" t="n">
        <v>0.9</v>
      </c>
      <c r="F196" s="13" t="n">
        <v>0</v>
      </c>
      <c r="G196" s="8" t="n"/>
      <c r="H196" s="8" t="n"/>
    </row>
    <row r="197">
      <c r="A197" s="9" t="inlineStr">
        <is>
          <t>JOB-1002 — Graphic Designer</t>
        </is>
      </c>
      <c r="B197" s="13" t="n">
        <v>0.3</v>
      </c>
      <c r="C197" s="13" t="n">
        <v>0.86</v>
      </c>
      <c r="D197" s="13" t="n">
        <v>1</v>
      </c>
      <c r="E197" s="13" t="n">
        <v>0.7</v>
      </c>
      <c r="F197" s="13" t="n">
        <v>0</v>
      </c>
      <c r="G197" s="8" t="n"/>
      <c r="H197" s="8" t="n"/>
    </row>
    <row r="198">
      <c r="A198" s="9" t="inlineStr">
        <is>
          <t>JOB-1360 — Mobile Coffee Shop Crew</t>
        </is>
      </c>
      <c r="B198" s="13" t="n">
        <v>0.3</v>
      </c>
      <c r="C198" s="13" t="n">
        <v>1.09</v>
      </c>
      <c r="D198" s="13" t="n">
        <v>1</v>
      </c>
      <c r="E198" s="13" t="n">
        <v>0.9</v>
      </c>
      <c r="F198" s="13" t="n">
        <v>0</v>
      </c>
      <c r="G198" s="8" t="n"/>
      <c r="H198" s="8" t="n"/>
    </row>
    <row r="199">
      <c r="A199" s="9" t="inlineStr">
        <is>
          <t>JOB-1050 — Helper Instalasi</t>
        </is>
      </c>
      <c r="B199" s="13" t="n">
        <v>0.3</v>
      </c>
      <c r="C199" s="13" t="n">
        <v>1.09</v>
      </c>
      <c r="D199" s="13" t="n">
        <v>0.4</v>
      </c>
      <c r="E199" s="13" t="n">
        <v>0.7</v>
      </c>
      <c r="F199" s="13" t="n">
        <v>0</v>
      </c>
      <c r="G199" s="8" t="n"/>
      <c r="H199" s="8" t="n"/>
    </row>
    <row r="200">
      <c r="A200" s="9" t="inlineStr">
        <is>
          <t>JOB-1035 — Kurir Mitra Last-Mile Jakarta Utara</t>
        </is>
      </c>
      <c r="B200" s="13" t="n">
        <v>0.3</v>
      </c>
      <c r="C200" s="13" t="n">
        <v>0.8</v>
      </c>
      <c r="D200" s="13" t="n">
        <v>0.8</v>
      </c>
      <c r="E200" s="13" t="n">
        <v>0.7</v>
      </c>
      <c r="F200" s="13" t="n">
        <v>0</v>
      </c>
      <c r="G200" s="8" t="n"/>
      <c r="H200" s="8" t="n"/>
    </row>
    <row r="201">
      <c r="A201" s="9" t="inlineStr">
        <is>
          <t>JOB-1264 — External Promotion Partner (Part-Time)</t>
        </is>
      </c>
      <c r="B201" s="13" t="n">
        <v>0.3</v>
      </c>
      <c r="C201" s="13" t="n">
        <v>0.86</v>
      </c>
      <c r="D201" s="13" t="n">
        <v>0.4</v>
      </c>
      <c r="E201" s="13" t="n">
        <v>1</v>
      </c>
      <c r="F201" s="13" t="n">
        <v>0</v>
      </c>
      <c r="G201" s="8" t="n"/>
      <c r="H201" s="8" t="n"/>
    </row>
    <row r="202">
      <c r="A202" s="9" t="inlineStr">
        <is>
          <t>JOB-1367 — SURVEYOR NOO (NEW OPENING OUTLET)CV. MULTIRASA PRI</t>
        </is>
      </c>
      <c r="B202" s="13" t="n">
        <v>0.3</v>
      </c>
      <c r="C202" s="13" t="n">
        <v>1.14</v>
      </c>
      <c r="D202" s="13" t="n">
        <v>1</v>
      </c>
      <c r="E202" s="13" t="n">
        <v>0.9</v>
      </c>
      <c r="F202" s="13" t="n">
        <v>0</v>
      </c>
      <c r="G202" s="8" t="n"/>
      <c r="H202" s="8" t="n"/>
    </row>
    <row r="203">
      <c r="A203" s="9" t="inlineStr">
        <is>
          <t>JOB-1265 — Dokter Gigi</t>
        </is>
      </c>
      <c r="B203" s="13" t="n">
        <v>0.3</v>
      </c>
      <c r="C203" s="13" t="n">
        <v>0.86</v>
      </c>
      <c r="D203" s="13" t="n">
        <v>0.4</v>
      </c>
      <c r="E203" s="13" t="n">
        <v>0.8</v>
      </c>
      <c r="F203" s="13" t="n">
        <v>0</v>
      </c>
      <c r="G203" s="8" t="n"/>
      <c r="H203" s="8" t="n"/>
    </row>
    <row r="204">
      <c r="A204" s="9" t="inlineStr">
        <is>
          <t>JOB-1316 — Guru Coding &amp; Robotik</t>
        </is>
      </c>
      <c r="B204" s="13" t="n">
        <v>0.3</v>
      </c>
      <c r="C204" s="13" t="n">
        <v>0.77</v>
      </c>
      <c r="D204" s="13" t="n">
        <v>1</v>
      </c>
      <c r="E204" s="13" t="n">
        <v>0.9</v>
      </c>
      <c r="F204" s="13" t="n">
        <v>0</v>
      </c>
      <c r="G204" s="8" t="n"/>
      <c r="H204" s="8" t="n"/>
    </row>
    <row r="205">
      <c r="A205" s="9" t="inlineStr">
        <is>
          <t>JOB-1274 — Sales Representatif</t>
        </is>
      </c>
      <c r="B205" s="13" t="n">
        <v>1</v>
      </c>
      <c r="C205" s="13" t="n">
        <v>0.77</v>
      </c>
      <c r="D205" s="13" t="n">
        <v>1</v>
      </c>
      <c r="E205" s="13" t="n">
        <v>0.7</v>
      </c>
      <c r="F205" s="13" t="n">
        <v>0.06</v>
      </c>
      <c r="G205" s="8" t="n"/>
      <c r="H205" s="8" t="n"/>
    </row>
    <row r="206">
      <c r="A206" s="9" t="inlineStr">
        <is>
          <t>JOB-1167 — Chief Creative Officer (CCO)</t>
        </is>
      </c>
      <c r="B206" s="13" t="n">
        <v>0.3</v>
      </c>
      <c r="C206" s="13" t="n">
        <v>0.71</v>
      </c>
      <c r="D206" s="13" t="n">
        <v>0.4</v>
      </c>
      <c r="E206" s="13" t="n">
        <v>0.9</v>
      </c>
      <c r="F206" s="13" t="n">
        <v>0</v>
      </c>
      <c r="G206" s="8" t="n"/>
      <c r="H206" s="8" t="n"/>
    </row>
    <row r="207">
      <c r="A207" s="9" t="inlineStr">
        <is>
          <t>JOB-1307 — Marketing</t>
        </is>
      </c>
      <c r="B207" s="13" t="n">
        <v>0.3</v>
      </c>
      <c r="C207" s="13" t="n">
        <v>0.86</v>
      </c>
      <c r="D207" s="13" t="n">
        <v>0.4</v>
      </c>
      <c r="E207" s="13" t="n">
        <v>0.9</v>
      </c>
      <c r="F207" s="13" t="n">
        <v>0.04</v>
      </c>
      <c r="G207" s="8" t="n"/>
      <c r="H207" s="8" t="n"/>
    </row>
    <row r="208">
      <c r="A208" s="9" t="inlineStr">
        <is>
          <t>JOB-1244 — Master Teacher Matematika</t>
        </is>
      </c>
      <c r="B208" s="13" t="n">
        <v>1</v>
      </c>
      <c r="C208" s="13" t="n">
        <v>0.71</v>
      </c>
      <c r="D208" s="13" t="n">
        <v>0.4</v>
      </c>
      <c r="E208" s="13" t="n">
        <v>0.8</v>
      </c>
      <c r="F208" s="13" t="n">
        <v>0</v>
      </c>
      <c r="G208" s="8" t="n"/>
      <c r="H208" s="8" t="n"/>
    </row>
    <row r="209">
      <c r="A209" s="9" t="inlineStr">
        <is>
          <t>JOB-1188 — Staff Operasional Perusahaan</t>
        </is>
      </c>
      <c r="B209" s="13" t="n">
        <v>0.3</v>
      </c>
      <c r="C209" s="13" t="n">
        <v>1.29</v>
      </c>
      <c r="D209" s="13" t="n">
        <v>0.8</v>
      </c>
      <c r="E209" s="13" t="n">
        <v>0.9</v>
      </c>
      <c r="F209" s="13" t="n">
        <v>0</v>
      </c>
      <c r="G209" s="8" t="n"/>
      <c r="H209" s="8" t="n"/>
    </row>
    <row r="210">
      <c r="A210" s="9" t="inlineStr">
        <is>
          <t>JOB-1170 — Kurir Deliery Obat</t>
        </is>
      </c>
      <c r="B210" s="13" t="n">
        <v>0.3</v>
      </c>
      <c r="C210" s="13" t="n">
        <v>0.71</v>
      </c>
      <c r="D210" s="13" t="n">
        <v>0.8</v>
      </c>
      <c r="E210" s="13" t="n">
        <v>0.8</v>
      </c>
      <c r="F210" s="13" t="n">
        <v>0</v>
      </c>
      <c r="G210" s="8" t="n"/>
      <c r="H210" s="8" t="n"/>
    </row>
    <row r="211">
      <c r="A211" s="9" t="inlineStr">
        <is>
          <t>JOB-1059 — Part Time Kitchen</t>
        </is>
      </c>
      <c r="B211" s="13" t="n">
        <v>0.3</v>
      </c>
      <c r="C211" s="13" t="n">
        <v>0.8</v>
      </c>
      <c r="D211" s="13" t="n">
        <v>0.8</v>
      </c>
      <c r="E211" s="13" t="n">
        <v>0.7</v>
      </c>
      <c r="F211" s="13" t="n">
        <v>0.05</v>
      </c>
      <c r="G211" s="8" t="n"/>
      <c r="H211" s="8" t="n"/>
    </row>
    <row r="212">
      <c r="A212" s="9" t="inlineStr">
        <is>
          <t>JOB-1049 — Barista</t>
        </is>
      </c>
      <c r="B212" s="13" t="n">
        <v>0.3</v>
      </c>
      <c r="C212" s="13" t="n">
        <v>1.43</v>
      </c>
      <c r="D212" s="13" t="n">
        <v>0.4</v>
      </c>
      <c r="E212" s="13" t="n">
        <v>0.8</v>
      </c>
      <c r="F212" s="13" t="n">
        <v>0.05</v>
      </c>
      <c r="G212" s="8" t="n"/>
      <c r="H212" s="8" t="n"/>
    </row>
    <row r="213">
      <c r="A213" s="9" t="inlineStr">
        <is>
          <t>JOB-1236 — Guru Les Privat - Kota Jakarta Selatan</t>
        </is>
      </c>
      <c r="B213" s="13" t="n">
        <v>1</v>
      </c>
      <c r="C213" s="13" t="n">
        <v>0.71</v>
      </c>
      <c r="D213" s="13" t="n">
        <v>0.8</v>
      </c>
      <c r="E213" s="13" t="n">
        <v>0.7</v>
      </c>
      <c r="F213" s="13" t="n">
        <v>0</v>
      </c>
      <c r="G213" s="8" t="n"/>
      <c r="H213" s="8" t="n"/>
    </row>
    <row r="214">
      <c r="A214" s="9" t="inlineStr">
        <is>
          <t>JOB-1253 — Finance Admin</t>
        </is>
      </c>
      <c r="B214" s="13" t="n">
        <v>0.3</v>
      </c>
      <c r="C214" s="13" t="n">
        <v>1.09</v>
      </c>
      <c r="D214" s="13" t="n">
        <v>1</v>
      </c>
      <c r="E214" s="13" t="n">
        <v>0.7</v>
      </c>
      <c r="F214" s="13" t="n">
        <v>0</v>
      </c>
      <c r="G214" s="8" t="n"/>
      <c r="H214" s="8" t="n"/>
    </row>
    <row r="215">
      <c r="A215" s="9" t="inlineStr">
        <is>
          <t>JOB-1022 — Content Creator Wanted In Bali</t>
        </is>
      </c>
      <c r="B215" s="13" t="n">
        <v>0.3</v>
      </c>
      <c r="C215" s="13" t="n">
        <v>1.14</v>
      </c>
      <c r="D215" s="13" t="n">
        <v>1</v>
      </c>
      <c r="E215" s="13" t="n">
        <v>0.8</v>
      </c>
      <c r="F215" s="13" t="n">
        <v>0</v>
      </c>
      <c r="G215" s="8" t="n"/>
      <c r="H215" s="8" t="n"/>
    </row>
    <row r="216">
      <c r="A216" s="9" t="inlineStr">
        <is>
          <t>JOB-1314 — Guru Mandarin</t>
        </is>
      </c>
      <c r="B216" s="13" t="n">
        <v>1</v>
      </c>
      <c r="C216" s="13" t="n">
        <v>1</v>
      </c>
      <c r="D216" s="13" t="n">
        <v>0.4</v>
      </c>
      <c r="E216" s="13" t="n">
        <v>0.9</v>
      </c>
      <c r="F216" s="13" t="n">
        <v>0.06</v>
      </c>
      <c r="G216" s="8" t="n"/>
      <c r="H216" s="8" t="n"/>
    </row>
    <row r="217">
      <c r="A217" s="9" t="inlineStr">
        <is>
          <t>JOB-1161 — Part Time English Teacher</t>
        </is>
      </c>
      <c r="B217" s="13" t="n">
        <v>1</v>
      </c>
      <c r="C217" s="13" t="n">
        <v>0.86</v>
      </c>
      <c r="D217" s="13" t="n">
        <v>1</v>
      </c>
      <c r="E217" s="13" t="n">
        <v>0.9</v>
      </c>
      <c r="F217" s="13" t="n">
        <v>0</v>
      </c>
      <c r="G217" s="8" t="n"/>
      <c r="H217" s="8" t="n"/>
    </row>
    <row r="218">
      <c r="A218" s="9" t="inlineStr">
        <is>
          <t>JOB-1277 — Guru Bimbel</t>
        </is>
      </c>
      <c r="B218" s="13" t="n">
        <v>1</v>
      </c>
      <c r="C218" s="13" t="n">
        <v>1.09</v>
      </c>
      <c r="D218" s="13" t="n">
        <v>0.4</v>
      </c>
      <c r="E218" s="13" t="n">
        <v>1</v>
      </c>
      <c r="F218" s="13" t="n">
        <v>0</v>
      </c>
      <c r="G218" s="8" t="n"/>
      <c r="H218" s="8" t="n"/>
    </row>
    <row r="219">
      <c r="A219" s="9" t="inlineStr">
        <is>
          <t>JOB-1309 — Mathematics Mentor</t>
        </is>
      </c>
      <c r="B219" s="13" t="n">
        <v>1</v>
      </c>
      <c r="C219" s="13" t="n">
        <v>0.86</v>
      </c>
      <c r="D219" s="13" t="n">
        <v>0.4</v>
      </c>
      <c r="E219" s="13" t="n">
        <v>1</v>
      </c>
      <c r="F219" s="13" t="n">
        <v>0</v>
      </c>
      <c r="G219" s="8" t="n"/>
      <c r="H219" s="8" t="n"/>
    </row>
    <row r="220">
      <c r="A220" s="9" t="inlineStr">
        <is>
          <t>JOB-1131 — Crew Front Parttime</t>
        </is>
      </c>
      <c r="B220" s="13" t="n">
        <v>0.3</v>
      </c>
      <c r="C220" s="13" t="n">
        <v>1.43</v>
      </c>
      <c r="D220" s="13" t="n">
        <v>0.4</v>
      </c>
      <c r="E220" s="13" t="n">
        <v>1</v>
      </c>
      <c r="F220" s="13" t="n">
        <v>0</v>
      </c>
      <c r="G220" s="8" t="n"/>
      <c r="H220" s="8" t="n"/>
    </row>
    <row r="221">
      <c r="A221" s="9" t="inlineStr">
        <is>
          <t>JOB-1331 — Terapis</t>
        </is>
      </c>
      <c r="B221" s="13" t="n">
        <v>0.3</v>
      </c>
      <c r="C221" s="13" t="n">
        <v>0.77</v>
      </c>
      <c r="D221" s="13" t="n">
        <v>1</v>
      </c>
      <c r="E221" s="13" t="n">
        <v>1</v>
      </c>
      <c r="F221" s="13" t="n">
        <v>0</v>
      </c>
      <c r="G221" s="8" t="n"/>
      <c r="H221" s="8" t="n"/>
    </row>
    <row r="222">
      <c r="A222" s="9" t="inlineStr">
        <is>
          <t>JOB-1215 — TALENT/CONTENT</t>
        </is>
      </c>
      <c r="B222" s="13" t="n">
        <v>0.3</v>
      </c>
      <c r="C222" s="13" t="n">
        <v>1.43</v>
      </c>
      <c r="D222" s="13" t="n">
        <v>1</v>
      </c>
      <c r="E222" s="13" t="n">
        <v>0.7</v>
      </c>
      <c r="F222" s="13" t="n">
        <v>0</v>
      </c>
      <c r="G222" s="8" t="n"/>
      <c r="H222" s="8" t="n"/>
    </row>
    <row r="223">
      <c r="A223" s="9" t="inlineStr">
        <is>
          <t>JOB-1122 — 🌐 Sales Canvassing - Internet Rakyat (Jakarta Utara)</t>
        </is>
      </c>
      <c r="B223" s="13" t="n">
        <v>1</v>
      </c>
      <c r="C223" s="13" t="n">
        <v>1</v>
      </c>
      <c r="D223" s="13" t="n">
        <v>0.8</v>
      </c>
      <c r="E223" s="13" t="n">
        <v>0.8</v>
      </c>
      <c r="F223" s="13" t="n">
        <v>0</v>
      </c>
      <c r="G223" s="8" t="n"/>
      <c r="H223" s="8" t="n"/>
    </row>
    <row r="224">
      <c r="A224" s="9" t="inlineStr">
        <is>
          <t>JOB-1107 — Teacher Part Time Coding &amp; Robotic (AREA JAKBAR-JAKPUS) WFO</t>
        </is>
      </c>
      <c r="B224" s="13" t="n">
        <v>0.3</v>
      </c>
      <c r="C224" s="13" t="n">
        <v>0.86</v>
      </c>
      <c r="D224" s="13" t="n">
        <v>0.4</v>
      </c>
      <c r="E224" s="13" t="n">
        <v>0.7</v>
      </c>
      <c r="F224" s="13" t="n">
        <v>0</v>
      </c>
      <c r="G224" s="8" t="n"/>
      <c r="H224" s="8" t="n"/>
    </row>
    <row r="225">
      <c r="A225" s="9" t="inlineStr">
        <is>
          <t>JOB-1271 — Driver Taksi</t>
        </is>
      </c>
      <c r="B225" s="13" t="n">
        <v>0.3</v>
      </c>
      <c r="C225" s="13" t="n">
        <v>1.2</v>
      </c>
      <c r="D225" s="13" t="n">
        <v>1</v>
      </c>
      <c r="E225" s="13" t="n">
        <v>0.9</v>
      </c>
      <c r="F225" s="13" t="n">
        <v>0</v>
      </c>
      <c r="G225" s="8" t="n"/>
      <c r="H225" s="8" t="n"/>
    </row>
    <row r="226">
      <c r="A226" s="9" t="inlineStr">
        <is>
          <t>JOB-1103 — Sales Marketing (Masih Kuliah akan diprioritaskan)</t>
        </is>
      </c>
      <c r="B226" s="13" t="n">
        <v>1</v>
      </c>
      <c r="C226" s="13" t="n">
        <v>1</v>
      </c>
      <c r="D226" s="13" t="n">
        <v>1</v>
      </c>
      <c r="E226" s="13" t="n">
        <v>0.9</v>
      </c>
      <c r="F226" s="13" t="n">
        <v>0</v>
      </c>
      <c r="G226" s="8" t="n"/>
      <c r="H226" s="8" t="n"/>
    </row>
    <row r="227">
      <c r="A227" s="14" t="inlineStr">
        <is>
          <t>MAX</t>
        </is>
      </c>
      <c r="B227" s="15">
        <f>MAX(B6:B226)</f>
        <v/>
      </c>
      <c r="C227" s="15">
        <f>MAX(C6:C226)</f>
        <v/>
      </c>
      <c r="D227" s="15">
        <f>MAX(D6:D226)</f>
        <v/>
      </c>
      <c r="E227" s="15">
        <f>MAX(E6:E226)</f>
        <v/>
      </c>
      <c r="F227" s="15">
        <f>MAX(F6:F226)</f>
        <v/>
      </c>
      <c r="G227" s="8" t="n"/>
      <c r="H227" s="8" t="n"/>
    </row>
    <row r="228">
      <c r="A228" s="16" t="inlineStr">
        <is>
          <t>MIN</t>
        </is>
      </c>
      <c r="B228" s="17">
        <f>MIN(B6:B226)</f>
        <v/>
      </c>
      <c r="C228" s="17">
        <f>MIN(C6:C226)</f>
        <v/>
      </c>
      <c r="D228" s="17">
        <f>MIN(D6:D226)</f>
        <v/>
      </c>
      <c r="E228" s="17">
        <f>MIN(E6:E226)</f>
        <v/>
      </c>
      <c r="F228" s="17">
        <f>MIN(F6:F226)</f>
        <v/>
      </c>
      <c r="G228" s="8" t="n"/>
      <c r="H228" s="8" t="n"/>
    </row>
    <row r="230">
      <c r="A230" s="3" t="inlineStr">
        <is>
          <t>Utility</t>
        </is>
      </c>
      <c r="B230" s="8" t="n"/>
      <c r="C230" s="8" t="n"/>
      <c r="D230" s="8" t="n"/>
      <c r="E230" s="8" t="n"/>
      <c r="F230" s="8" t="n"/>
      <c r="G230" s="3" t="inlineStr">
        <is>
          <t>Nilai SMARTER</t>
        </is>
      </c>
      <c r="H230" s="3" t="inlineStr">
        <is>
          <t>Ranking</t>
        </is>
      </c>
    </row>
    <row r="231">
      <c r="A231" s="9">
        <f>A6</f>
        <v/>
      </c>
      <c r="B231" s="13">
        <f>(B6-$B$228)/($B$227-$B$228)</f>
        <v/>
      </c>
      <c r="C231" s="13">
        <f>(C6-$C$228)/($C$227-$C$228)</f>
        <v/>
      </c>
      <c r="D231" s="13">
        <f>(D6-$D$228)/($D$227-$D$228)</f>
        <v/>
      </c>
      <c r="E231" s="13">
        <f>(E6-$E$228)/($E$227-$E$228)</f>
        <v/>
      </c>
      <c r="F231" s="13">
        <f>(F6-$F$228)/($F$227-$F$228)</f>
        <v/>
      </c>
      <c r="G231" s="13">
        <f>(B231*$B$5)+(C231*$C$5)+(D231*$D$5)+(E231*$E$5)+(F231*$F$5)</f>
        <v/>
      </c>
      <c r="H231" s="8">
        <f>RANK(G231,$G$231:$G$451)</f>
        <v/>
      </c>
    </row>
    <row r="232">
      <c r="A232" s="9">
        <f>A7</f>
        <v/>
      </c>
      <c r="B232" s="13">
        <f>(B7-$B$228)/($B$227-$B$228)</f>
        <v/>
      </c>
      <c r="C232" s="13">
        <f>(C7-$C$228)/($C$227-$C$228)</f>
        <v/>
      </c>
      <c r="D232" s="13">
        <f>(D7-$D$228)/($D$227-$D$228)</f>
        <v/>
      </c>
      <c r="E232" s="13">
        <f>(E7-$E$228)/($E$227-$E$228)</f>
        <v/>
      </c>
      <c r="F232" s="13">
        <f>(F7-$F$228)/($F$227-$F$228)</f>
        <v/>
      </c>
      <c r="G232" s="13">
        <f>(B232*$B$5)+(C232*$C$5)+(D232*$D$5)+(E232*$E$5)+(F232*$F$5)</f>
        <v/>
      </c>
      <c r="H232" s="8">
        <f>RANK(G232,$G$231:$G$451)</f>
        <v/>
      </c>
    </row>
    <row r="233">
      <c r="A233" s="9">
        <f>A8</f>
        <v/>
      </c>
      <c r="B233" s="13">
        <f>(B8-$B$228)/($B$227-$B$228)</f>
        <v/>
      </c>
      <c r="C233" s="13">
        <f>(C8-$C$228)/($C$227-$C$228)</f>
        <v/>
      </c>
      <c r="D233" s="13">
        <f>(D8-$D$228)/($D$227-$D$228)</f>
        <v/>
      </c>
      <c r="E233" s="13">
        <f>(E8-$E$228)/($E$227-$E$228)</f>
        <v/>
      </c>
      <c r="F233" s="13">
        <f>(F8-$F$228)/($F$227-$F$228)</f>
        <v/>
      </c>
      <c r="G233" s="13">
        <f>(B233*$B$5)+(C233*$C$5)+(D233*$D$5)+(E233*$E$5)+(F233*$F$5)</f>
        <v/>
      </c>
      <c r="H233" s="8">
        <f>RANK(G233,$G$231:$G$451)</f>
        <v/>
      </c>
    </row>
    <row r="234">
      <c r="A234" s="9">
        <f>A9</f>
        <v/>
      </c>
      <c r="B234" s="13">
        <f>(B9-$B$228)/($B$227-$B$228)</f>
        <v/>
      </c>
      <c r="C234" s="13">
        <f>(C9-$C$228)/($C$227-$C$228)</f>
        <v/>
      </c>
      <c r="D234" s="13">
        <f>(D9-$D$228)/($D$227-$D$228)</f>
        <v/>
      </c>
      <c r="E234" s="13">
        <f>(E9-$E$228)/($E$227-$E$228)</f>
        <v/>
      </c>
      <c r="F234" s="13">
        <f>(F9-$F$228)/($F$227-$F$228)</f>
        <v/>
      </c>
      <c r="G234" s="13">
        <f>(B234*$B$5)+(C234*$C$5)+(D234*$D$5)+(E234*$E$5)+(F234*$F$5)</f>
        <v/>
      </c>
      <c r="H234" s="8">
        <f>RANK(G234,$G$231:$G$451)</f>
        <v/>
      </c>
    </row>
    <row r="235">
      <c r="A235" s="9">
        <f>A10</f>
        <v/>
      </c>
      <c r="B235" s="13">
        <f>(B10-$B$228)/($B$227-$B$228)</f>
        <v/>
      </c>
      <c r="C235" s="13">
        <f>(C10-$C$228)/($C$227-$C$228)</f>
        <v/>
      </c>
      <c r="D235" s="13">
        <f>(D10-$D$228)/($D$227-$D$228)</f>
        <v/>
      </c>
      <c r="E235" s="13">
        <f>(E10-$E$228)/($E$227-$E$228)</f>
        <v/>
      </c>
      <c r="F235" s="13">
        <f>(F10-$F$228)/($F$227-$F$228)</f>
        <v/>
      </c>
      <c r="G235" s="13">
        <f>(B235*$B$5)+(C235*$C$5)+(D235*$D$5)+(E235*$E$5)+(F235*$F$5)</f>
        <v/>
      </c>
      <c r="H235" s="8">
        <f>RANK(G235,$G$231:$G$451)</f>
        <v/>
      </c>
    </row>
    <row r="236">
      <c r="A236" s="9">
        <f>A11</f>
        <v/>
      </c>
      <c r="B236" s="13">
        <f>(B11-$B$228)/($B$227-$B$228)</f>
        <v/>
      </c>
      <c r="C236" s="13">
        <f>(C11-$C$228)/($C$227-$C$228)</f>
        <v/>
      </c>
      <c r="D236" s="13">
        <f>(D11-$D$228)/($D$227-$D$228)</f>
        <v/>
      </c>
      <c r="E236" s="13">
        <f>(E11-$E$228)/($E$227-$E$228)</f>
        <v/>
      </c>
      <c r="F236" s="13">
        <f>(F11-$F$228)/($F$227-$F$228)</f>
        <v/>
      </c>
      <c r="G236" s="13">
        <f>(B236*$B$5)+(C236*$C$5)+(D236*$D$5)+(E236*$E$5)+(F236*$F$5)</f>
        <v/>
      </c>
      <c r="H236" s="8">
        <f>RANK(G236,$G$231:$G$451)</f>
        <v/>
      </c>
    </row>
    <row r="237">
      <c r="A237" s="9">
        <f>A12</f>
        <v/>
      </c>
      <c r="B237" s="13">
        <f>(B12-$B$228)/($B$227-$B$228)</f>
        <v/>
      </c>
      <c r="C237" s="13">
        <f>(C12-$C$228)/($C$227-$C$228)</f>
        <v/>
      </c>
      <c r="D237" s="13">
        <f>(D12-$D$228)/($D$227-$D$228)</f>
        <v/>
      </c>
      <c r="E237" s="13">
        <f>(E12-$E$228)/($E$227-$E$228)</f>
        <v/>
      </c>
      <c r="F237" s="13">
        <f>(F12-$F$228)/($F$227-$F$228)</f>
        <v/>
      </c>
      <c r="G237" s="13">
        <f>(B237*$B$5)+(C237*$C$5)+(D237*$D$5)+(E237*$E$5)+(F237*$F$5)</f>
        <v/>
      </c>
      <c r="H237" s="8">
        <f>RANK(G237,$G$231:$G$451)</f>
        <v/>
      </c>
    </row>
    <row r="238">
      <c r="A238" s="9">
        <f>A13</f>
        <v/>
      </c>
      <c r="B238" s="13">
        <f>(B13-$B$228)/($B$227-$B$228)</f>
        <v/>
      </c>
      <c r="C238" s="13">
        <f>(C13-$C$228)/($C$227-$C$228)</f>
        <v/>
      </c>
      <c r="D238" s="13">
        <f>(D13-$D$228)/($D$227-$D$228)</f>
        <v/>
      </c>
      <c r="E238" s="13">
        <f>(E13-$E$228)/($E$227-$E$228)</f>
        <v/>
      </c>
      <c r="F238" s="13">
        <f>(F13-$F$228)/($F$227-$F$228)</f>
        <v/>
      </c>
      <c r="G238" s="13">
        <f>(B238*$B$5)+(C238*$C$5)+(D238*$D$5)+(E238*$E$5)+(F238*$F$5)</f>
        <v/>
      </c>
      <c r="H238" s="8">
        <f>RANK(G238,$G$231:$G$451)</f>
        <v/>
      </c>
    </row>
    <row r="239">
      <c r="A239" s="9">
        <f>A14</f>
        <v/>
      </c>
      <c r="B239" s="13">
        <f>(B14-$B$228)/($B$227-$B$228)</f>
        <v/>
      </c>
      <c r="C239" s="13">
        <f>(C14-$C$228)/($C$227-$C$228)</f>
        <v/>
      </c>
      <c r="D239" s="13">
        <f>(D14-$D$228)/($D$227-$D$228)</f>
        <v/>
      </c>
      <c r="E239" s="13">
        <f>(E14-$E$228)/($E$227-$E$228)</f>
        <v/>
      </c>
      <c r="F239" s="13">
        <f>(F14-$F$228)/($F$227-$F$228)</f>
        <v/>
      </c>
      <c r="G239" s="13">
        <f>(B239*$B$5)+(C239*$C$5)+(D239*$D$5)+(E239*$E$5)+(F239*$F$5)</f>
        <v/>
      </c>
      <c r="H239" s="8">
        <f>RANK(G239,$G$231:$G$451)</f>
        <v/>
      </c>
    </row>
    <row r="240">
      <c r="A240" s="9">
        <f>A15</f>
        <v/>
      </c>
      <c r="B240" s="13">
        <f>(B15-$B$228)/($B$227-$B$228)</f>
        <v/>
      </c>
      <c r="C240" s="13">
        <f>(C15-$C$228)/($C$227-$C$228)</f>
        <v/>
      </c>
      <c r="D240" s="13">
        <f>(D15-$D$228)/($D$227-$D$228)</f>
        <v/>
      </c>
      <c r="E240" s="13">
        <f>(E15-$E$228)/($E$227-$E$228)</f>
        <v/>
      </c>
      <c r="F240" s="13">
        <f>(F15-$F$228)/($F$227-$F$228)</f>
        <v/>
      </c>
      <c r="G240" s="13">
        <f>(B240*$B$5)+(C240*$C$5)+(D240*$D$5)+(E240*$E$5)+(F240*$F$5)</f>
        <v/>
      </c>
      <c r="H240" s="8">
        <f>RANK(G240,$G$231:$G$451)</f>
        <v/>
      </c>
    </row>
    <row r="241">
      <c r="A241" s="9">
        <f>A16</f>
        <v/>
      </c>
      <c r="B241" s="13">
        <f>(B16-$B$228)/($B$227-$B$228)</f>
        <v/>
      </c>
      <c r="C241" s="13">
        <f>(C16-$C$228)/($C$227-$C$228)</f>
        <v/>
      </c>
      <c r="D241" s="13">
        <f>(D16-$D$228)/($D$227-$D$228)</f>
        <v/>
      </c>
      <c r="E241" s="13">
        <f>(E16-$E$228)/($E$227-$E$228)</f>
        <v/>
      </c>
      <c r="F241" s="13">
        <f>(F16-$F$228)/($F$227-$F$228)</f>
        <v/>
      </c>
      <c r="G241" s="13">
        <f>(B241*$B$5)+(C241*$C$5)+(D241*$D$5)+(E241*$E$5)+(F241*$F$5)</f>
        <v/>
      </c>
      <c r="H241" s="8">
        <f>RANK(G241,$G$231:$G$451)</f>
        <v/>
      </c>
    </row>
    <row r="242">
      <c r="A242" s="9">
        <f>A17</f>
        <v/>
      </c>
      <c r="B242" s="13">
        <f>(B17-$B$228)/($B$227-$B$228)</f>
        <v/>
      </c>
      <c r="C242" s="13">
        <f>(C17-$C$228)/($C$227-$C$228)</f>
        <v/>
      </c>
      <c r="D242" s="13">
        <f>(D17-$D$228)/($D$227-$D$228)</f>
        <v/>
      </c>
      <c r="E242" s="13">
        <f>(E17-$E$228)/($E$227-$E$228)</f>
        <v/>
      </c>
      <c r="F242" s="13">
        <f>(F17-$F$228)/($F$227-$F$228)</f>
        <v/>
      </c>
      <c r="G242" s="13">
        <f>(B242*$B$5)+(C242*$C$5)+(D242*$D$5)+(E242*$E$5)+(F242*$F$5)</f>
        <v/>
      </c>
      <c r="H242" s="8">
        <f>RANK(G242,$G$231:$G$451)</f>
        <v/>
      </c>
    </row>
    <row r="243">
      <c r="A243" s="9">
        <f>A18</f>
        <v/>
      </c>
      <c r="B243" s="13">
        <f>(B18-$B$228)/($B$227-$B$228)</f>
        <v/>
      </c>
      <c r="C243" s="13">
        <f>(C18-$C$228)/($C$227-$C$228)</f>
        <v/>
      </c>
      <c r="D243" s="13">
        <f>(D18-$D$228)/($D$227-$D$228)</f>
        <v/>
      </c>
      <c r="E243" s="13">
        <f>(E18-$E$228)/($E$227-$E$228)</f>
        <v/>
      </c>
      <c r="F243" s="13">
        <f>(F18-$F$228)/($F$227-$F$228)</f>
        <v/>
      </c>
      <c r="G243" s="13">
        <f>(B243*$B$5)+(C243*$C$5)+(D243*$D$5)+(E243*$E$5)+(F243*$F$5)</f>
        <v/>
      </c>
      <c r="H243" s="8">
        <f>RANK(G243,$G$231:$G$451)</f>
        <v/>
      </c>
    </row>
    <row r="244">
      <c r="A244" s="9">
        <f>A19</f>
        <v/>
      </c>
      <c r="B244" s="13">
        <f>(B19-$B$228)/($B$227-$B$228)</f>
        <v/>
      </c>
      <c r="C244" s="13">
        <f>(C19-$C$228)/($C$227-$C$228)</f>
        <v/>
      </c>
      <c r="D244" s="13">
        <f>(D19-$D$228)/($D$227-$D$228)</f>
        <v/>
      </c>
      <c r="E244" s="13">
        <f>(E19-$E$228)/($E$227-$E$228)</f>
        <v/>
      </c>
      <c r="F244" s="13">
        <f>(F19-$F$228)/($F$227-$F$228)</f>
        <v/>
      </c>
      <c r="G244" s="13">
        <f>(B244*$B$5)+(C244*$C$5)+(D244*$D$5)+(E244*$E$5)+(F244*$F$5)</f>
        <v/>
      </c>
      <c r="H244" s="8">
        <f>RANK(G244,$G$231:$G$451)</f>
        <v/>
      </c>
    </row>
    <row r="245">
      <c r="A245" s="9">
        <f>A20</f>
        <v/>
      </c>
      <c r="B245" s="13">
        <f>(B20-$B$228)/($B$227-$B$228)</f>
        <v/>
      </c>
      <c r="C245" s="13">
        <f>(C20-$C$228)/($C$227-$C$228)</f>
        <v/>
      </c>
      <c r="D245" s="13">
        <f>(D20-$D$228)/($D$227-$D$228)</f>
        <v/>
      </c>
      <c r="E245" s="13">
        <f>(E20-$E$228)/($E$227-$E$228)</f>
        <v/>
      </c>
      <c r="F245" s="13">
        <f>(F20-$F$228)/($F$227-$F$228)</f>
        <v/>
      </c>
      <c r="G245" s="13">
        <f>(B245*$B$5)+(C245*$C$5)+(D245*$D$5)+(E245*$E$5)+(F245*$F$5)</f>
        <v/>
      </c>
      <c r="H245" s="8">
        <f>RANK(G245,$G$231:$G$451)</f>
        <v/>
      </c>
    </row>
    <row r="246">
      <c r="A246" s="9">
        <f>A21</f>
        <v/>
      </c>
      <c r="B246" s="13">
        <f>(B21-$B$228)/($B$227-$B$228)</f>
        <v/>
      </c>
      <c r="C246" s="13">
        <f>(C21-$C$228)/($C$227-$C$228)</f>
        <v/>
      </c>
      <c r="D246" s="13">
        <f>(D21-$D$228)/($D$227-$D$228)</f>
        <v/>
      </c>
      <c r="E246" s="13">
        <f>(E21-$E$228)/($E$227-$E$228)</f>
        <v/>
      </c>
      <c r="F246" s="13">
        <f>(F21-$F$228)/($F$227-$F$228)</f>
        <v/>
      </c>
      <c r="G246" s="13">
        <f>(B246*$B$5)+(C246*$C$5)+(D246*$D$5)+(E246*$E$5)+(F246*$F$5)</f>
        <v/>
      </c>
      <c r="H246" s="8">
        <f>RANK(G246,$G$231:$G$451)</f>
        <v/>
      </c>
    </row>
    <row r="247">
      <c r="A247" s="9">
        <f>A22</f>
        <v/>
      </c>
      <c r="B247" s="13">
        <f>(B22-$B$228)/($B$227-$B$228)</f>
        <v/>
      </c>
      <c r="C247" s="13">
        <f>(C22-$C$228)/($C$227-$C$228)</f>
        <v/>
      </c>
      <c r="D247" s="13">
        <f>(D22-$D$228)/($D$227-$D$228)</f>
        <v/>
      </c>
      <c r="E247" s="13">
        <f>(E22-$E$228)/($E$227-$E$228)</f>
        <v/>
      </c>
      <c r="F247" s="13">
        <f>(F22-$F$228)/($F$227-$F$228)</f>
        <v/>
      </c>
      <c r="G247" s="13">
        <f>(B247*$B$5)+(C247*$C$5)+(D247*$D$5)+(E247*$E$5)+(F247*$F$5)</f>
        <v/>
      </c>
      <c r="H247" s="8">
        <f>RANK(G247,$G$231:$G$451)</f>
        <v/>
      </c>
    </row>
    <row r="248">
      <c r="A248" s="9">
        <f>A23</f>
        <v/>
      </c>
      <c r="B248" s="13">
        <f>(B23-$B$228)/($B$227-$B$228)</f>
        <v/>
      </c>
      <c r="C248" s="13">
        <f>(C23-$C$228)/($C$227-$C$228)</f>
        <v/>
      </c>
      <c r="D248" s="13">
        <f>(D23-$D$228)/($D$227-$D$228)</f>
        <v/>
      </c>
      <c r="E248" s="13">
        <f>(E23-$E$228)/($E$227-$E$228)</f>
        <v/>
      </c>
      <c r="F248" s="13">
        <f>(F23-$F$228)/($F$227-$F$228)</f>
        <v/>
      </c>
      <c r="G248" s="13">
        <f>(B248*$B$5)+(C248*$C$5)+(D248*$D$5)+(E248*$E$5)+(F248*$F$5)</f>
        <v/>
      </c>
      <c r="H248" s="8">
        <f>RANK(G248,$G$231:$G$451)</f>
        <v/>
      </c>
    </row>
    <row r="249">
      <c r="A249" s="9">
        <f>A24</f>
        <v/>
      </c>
      <c r="B249" s="13">
        <f>(B24-$B$228)/($B$227-$B$228)</f>
        <v/>
      </c>
      <c r="C249" s="13">
        <f>(C24-$C$228)/($C$227-$C$228)</f>
        <v/>
      </c>
      <c r="D249" s="13">
        <f>(D24-$D$228)/($D$227-$D$228)</f>
        <v/>
      </c>
      <c r="E249" s="13">
        <f>(E24-$E$228)/($E$227-$E$228)</f>
        <v/>
      </c>
      <c r="F249" s="13">
        <f>(F24-$F$228)/($F$227-$F$228)</f>
        <v/>
      </c>
      <c r="G249" s="13">
        <f>(B249*$B$5)+(C249*$C$5)+(D249*$D$5)+(E249*$E$5)+(F249*$F$5)</f>
        <v/>
      </c>
      <c r="H249" s="8">
        <f>RANK(G249,$G$231:$G$451)</f>
        <v/>
      </c>
    </row>
    <row r="250">
      <c r="A250" s="9">
        <f>A25</f>
        <v/>
      </c>
      <c r="B250" s="13">
        <f>(B25-$B$228)/($B$227-$B$228)</f>
        <v/>
      </c>
      <c r="C250" s="13">
        <f>(C25-$C$228)/($C$227-$C$228)</f>
        <v/>
      </c>
      <c r="D250" s="13">
        <f>(D25-$D$228)/($D$227-$D$228)</f>
        <v/>
      </c>
      <c r="E250" s="13">
        <f>(E25-$E$228)/($E$227-$E$228)</f>
        <v/>
      </c>
      <c r="F250" s="13">
        <f>(F25-$F$228)/($F$227-$F$228)</f>
        <v/>
      </c>
      <c r="G250" s="13">
        <f>(B250*$B$5)+(C250*$C$5)+(D250*$D$5)+(E250*$E$5)+(F250*$F$5)</f>
        <v/>
      </c>
      <c r="H250" s="8">
        <f>RANK(G250,$G$231:$G$451)</f>
        <v/>
      </c>
    </row>
    <row r="251">
      <c r="A251" s="9">
        <f>A26</f>
        <v/>
      </c>
      <c r="B251" s="13">
        <f>(B26-$B$228)/($B$227-$B$228)</f>
        <v/>
      </c>
      <c r="C251" s="13">
        <f>(C26-$C$228)/($C$227-$C$228)</f>
        <v/>
      </c>
      <c r="D251" s="13">
        <f>(D26-$D$228)/($D$227-$D$228)</f>
        <v/>
      </c>
      <c r="E251" s="13">
        <f>(E26-$E$228)/($E$227-$E$228)</f>
        <v/>
      </c>
      <c r="F251" s="13">
        <f>(F26-$F$228)/($F$227-$F$228)</f>
        <v/>
      </c>
      <c r="G251" s="13">
        <f>(B251*$B$5)+(C251*$C$5)+(D251*$D$5)+(E251*$E$5)+(F251*$F$5)</f>
        <v/>
      </c>
      <c r="H251" s="8">
        <f>RANK(G251,$G$231:$G$451)</f>
        <v/>
      </c>
    </row>
    <row r="252">
      <c r="A252" s="9">
        <f>A27</f>
        <v/>
      </c>
      <c r="B252" s="13">
        <f>(B27-$B$228)/($B$227-$B$228)</f>
        <v/>
      </c>
      <c r="C252" s="13">
        <f>(C27-$C$228)/($C$227-$C$228)</f>
        <v/>
      </c>
      <c r="D252" s="13">
        <f>(D27-$D$228)/($D$227-$D$228)</f>
        <v/>
      </c>
      <c r="E252" s="13">
        <f>(E27-$E$228)/($E$227-$E$228)</f>
        <v/>
      </c>
      <c r="F252" s="13">
        <f>(F27-$F$228)/($F$227-$F$228)</f>
        <v/>
      </c>
      <c r="G252" s="13">
        <f>(B252*$B$5)+(C252*$C$5)+(D252*$D$5)+(E252*$E$5)+(F252*$F$5)</f>
        <v/>
      </c>
      <c r="H252" s="8">
        <f>RANK(G252,$G$231:$G$451)</f>
        <v/>
      </c>
    </row>
    <row r="253">
      <c r="A253" s="9">
        <f>A28</f>
        <v/>
      </c>
      <c r="B253" s="13">
        <f>(B28-$B$228)/($B$227-$B$228)</f>
        <v/>
      </c>
      <c r="C253" s="13">
        <f>(C28-$C$228)/($C$227-$C$228)</f>
        <v/>
      </c>
      <c r="D253" s="13">
        <f>(D28-$D$228)/($D$227-$D$228)</f>
        <v/>
      </c>
      <c r="E253" s="13">
        <f>(E28-$E$228)/($E$227-$E$228)</f>
        <v/>
      </c>
      <c r="F253" s="13">
        <f>(F28-$F$228)/($F$227-$F$228)</f>
        <v/>
      </c>
      <c r="G253" s="13">
        <f>(B253*$B$5)+(C253*$C$5)+(D253*$D$5)+(E253*$E$5)+(F253*$F$5)</f>
        <v/>
      </c>
      <c r="H253" s="8">
        <f>RANK(G253,$G$231:$G$451)</f>
        <v/>
      </c>
    </row>
    <row r="254">
      <c r="A254" s="9">
        <f>A29</f>
        <v/>
      </c>
      <c r="B254" s="13">
        <f>(B29-$B$228)/($B$227-$B$228)</f>
        <v/>
      </c>
      <c r="C254" s="13">
        <f>(C29-$C$228)/($C$227-$C$228)</f>
        <v/>
      </c>
      <c r="D254" s="13">
        <f>(D29-$D$228)/($D$227-$D$228)</f>
        <v/>
      </c>
      <c r="E254" s="13">
        <f>(E29-$E$228)/($E$227-$E$228)</f>
        <v/>
      </c>
      <c r="F254" s="13">
        <f>(F29-$F$228)/($F$227-$F$228)</f>
        <v/>
      </c>
      <c r="G254" s="13">
        <f>(B254*$B$5)+(C254*$C$5)+(D254*$D$5)+(E254*$E$5)+(F254*$F$5)</f>
        <v/>
      </c>
      <c r="H254" s="8">
        <f>RANK(G254,$G$231:$G$451)</f>
        <v/>
      </c>
    </row>
    <row r="255">
      <c r="A255" s="9">
        <f>A30</f>
        <v/>
      </c>
      <c r="B255" s="13">
        <f>(B30-$B$228)/($B$227-$B$228)</f>
        <v/>
      </c>
      <c r="C255" s="13">
        <f>(C30-$C$228)/($C$227-$C$228)</f>
        <v/>
      </c>
      <c r="D255" s="13">
        <f>(D30-$D$228)/($D$227-$D$228)</f>
        <v/>
      </c>
      <c r="E255" s="13">
        <f>(E30-$E$228)/($E$227-$E$228)</f>
        <v/>
      </c>
      <c r="F255" s="13">
        <f>(F30-$F$228)/($F$227-$F$228)</f>
        <v/>
      </c>
      <c r="G255" s="13">
        <f>(B255*$B$5)+(C255*$C$5)+(D255*$D$5)+(E255*$E$5)+(F255*$F$5)</f>
        <v/>
      </c>
      <c r="H255" s="8">
        <f>RANK(G255,$G$231:$G$451)</f>
        <v/>
      </c>
    </row>
    <row r="256">
      <c r="A256" s="9">
        <f>A31</f>
        <v/>
      </c>
      <c r="B256" s="13">
        <f>(B31-$B$228)/($B$227-$B$228)</f>
        <v/>
      </c>
      <c r="C256" s="13">
        <f>(C31-$C$228)/($C$227-$C$228)</f>
        <v/>
      </c>
      <c r="D256" s="13">
        <f>(D31-$D$228)/($D$227-$D$228)</f>
        <v/>
      </c>
      <c r="E256" s="13">
        <f>(E31-$E$228)/($E$227-$E$228)</f>
        <v/>
      </c>
      <c r="F256" s="13">
        <f>(F31-$F$228)/($F$227-$F$228)</f>
        <v/>
      </c>
      <c r="G256" s="13">
        <f>(B256*$B$5)+(C256*$C$5)+(D256*$D$5)+(E256*$E$5)+(F256*$F$5)</f>
        <v/>
      </c>
      <c r="H256" s="8">
        <f>RANK(G256,$G$231:$G$451)</f>
        <v/>
      </c>
    </row>
    <row r="257">
      <c r="A257" s="9">
        <f>A32</f>
        <v/>
      </c>
      <c r="B257" s="13">
        <f>(B32-$B$228)/($B$227-$B$228)</f>
        <v/>
      </c>
      <c r="C257" s="13">
        <f>(C32-$C$228)/($C$227-$C$228)</f>
        <v/>
      </c>
      <c r="D257" s="13">
        <f>(D32-$D$228)/($D$227-$D$228)</f>
        <v/>
      </c>
      <c r="E257" s="13">
        <f>(E32-$E$228)/($E$227-$E$228)</f>
        <v/>
      </c>
      <c r="F257" s="13">
        <f>(F32-$F$228)/($F$227-$F$228)</f>
        <v/>
      </c>
      <c r="G257" s="13">
        <f>(B257*$B$5)+(C257*$C$5)+(D257*$D$5)+(E257*$E$5)+(F257*$F$5)</f>
        <v/>
      </c>
      <c r="H257" s="8">
        <f>RANK(G257,$G$231:$G$451)</f>
        <v/>
      </c>
    </row>
    <row r="258">
      <c r="A258" s="9">
        <f>A33</f>
        <v/>
      </c>
      <c r="B258" s="13">
        <f>(B33-$B$228)/($B$227-$B$228)</f>
        <v/>
      </c>
      <c r="C258" s="13">
        <f>(C33-$C$228)/($C$227-$C$228)</f>
        <v/>
      </c>
      <c r="D258" s="13">
        <f>(D33-$D$228)/($D$227-$D$228)</f>
        <v/>
      </c>
      <c r="E258" s="13">
        <f>(E33-$E$228)/($E$227-$E$228)</f>
        <v/>
      </c>
      <c r="F258" s="13">
        <f>(F33-$F$228)/($F$227-$F$228)</f>
        <v/>
      </c>
      <c r="G258" s="13">
        <f>(B258*$B$5)+(C258*$C$5)+(D258*$D$5)+(E258*$E$5)+(F258*$F$5)</f>
        <v/>
      </c>
      <c r="H258" s="8">
        <f>RANK(G258,$G$231:$G$451)</f>
        <v/>
      </c>
    </row>
    <row r="259">
      <c r="A259" s="9">
        <f>A34</f>
        <v/>
      </c>
      <c r="B259" s="13">
        <f>(B34-$B$228)/($B$227-$B$228)</f>
        <v/>
      </c>
      <c r="C259" s="13">
        <f>(C34-$C$228)/($C$227-$C$228)</f>
        <v/>
      </c>
      <c r="D259" s="13">
        <f>(D34-$D$228)/($D$227-$D$228)</f>
        <v/>
      </c>
      <c r="E259" s="13">
        <f>(E34-$E$228)/($E$227-$E$228)</f>
        <v/>
      </c>
      <c r="F259" s="13">
        <f>(F34-$F$228)/($F$227-$F$228)</f>
        <v/>
      </c>
      <c r="G259" s="13">
        <f>(B259*$B$5)+(C259*$C$5)+(D259*$D$5)+(E259*$E$5)+(F259*$F$5)</f>
        <v/>
      </c>
      <c r="H259" s="8">
        <f>RANK(G259,$G$231:$G$451)</f>
        <v/>
      </c>
    </row>
    <row r="260">
      <c r="A260" s="9">
        <f>A35</f>
        <v/>
      </c>
      <c r="B260" s="13">
        <f>(B35-$B$228)/($B$227-$B$228)</f>
        <v/>
      </c>
      <c r="C260" s="13">
        <f>(C35-$C$228)/($C$227-$C$228)</f>
        <v/>
      </c>
      <c r="D260" s="13">
        <f>(D35-$D$228)/($D$227-$D$228)</f>
        <v/>
      </c>
      <c r="E260" s="13">
        <f>(E35-$E$228)/($E$227-$E$228)</f>
        <v/>
      </c>
      <c r="F260" s="13">
        <f>(F35-$F$228)/($F$227-$F$228)</f>
        <v/>
      </c>
      <c r="G260" s="13">
        <f>(B260*$B$5)+(C260*$C$5)+(D260*$D$5)+(E260*$E$5)+(F260*$F$5)</f>
        <v/>
      </c>
      <c r="H260" s="8">
        <f>RANK(G260,$G$231:$G$451)</f>
        <v/>
      </c>
    </row>
    <row r="261">
      <c r="A261" s="9">
        <f>A36</f>
        <v/>
      </c>
      <c r="B261" s="13">
        <f>(B36-$B$228)/($B$227-$B$228)</f>
        <v/>
      </c>
      <c r="C261" s="13">
        <f>(C36-$C$228)/($C$227-$C$228)</f>
        <v/>
      </c>
      <c r="D261" s="13">
        <f>(D36-$D$228)/($D$227-$D$228)</f>
        <v/>
      </c>
      <c r="E261" s="13">
        <f>(E36-$E$228)/($E$227-$E$228)</f>
        <v/>
      </c>
      <c r="F261" s="13">
        <f>(F36-$F$228)/($F$227-$F$228)</f>
        <v/>
      </c>
      <c r="G261" s="13">
        <f>(B261*$B$5)+(C261*$C$5)+(D261*$D$5)+(E261*$E$5)+(F261*$F$5)</f>
        <v/>
      </c>
      <c r="H261" s="8">
        <f>RANK(G261,$G$231:$G$451)</f>
        <v/>
      </c>
    </row>
    <row r="262">
      <c r="A262" s="9">
        <f>A37</f>
        <v/>
      </c>
      <c r="B262" s="13">
        <f>(B37-$B$228)/($B$227-$B$228)</f>
        <v/>
      </c>
      <c r="C262" s="13">
        <f>(C37-$C$228)/($C$227-$C$228)</f>
        <v/>
      </c>
      <c r="D262" s="13">
        <f>(D37-$D$228)/($D$227-$D$228)</f>
        <v/>
      </c>
      <c r="E262" s="13">
        <f>(E37-$E$228)/($E$227-$E$228)</f>
        <v/>
      </c>
      <c r="F262" s="13">
        <f>(F37-$F$228)/($F$227-$F$228)</f>
        <v/>
      </c>
      <c r="G262" s="13">
        <f>(B262*$B$5)+(C262*$C$5)+(D262*$D$5)+(E262*$E$5)+(F262*$F$5)</f>
        <v/>
      </c>
      <c r="H262" s="8">
        <f>RANK(G262,$G$231:$G$451)</f>
        <v/>
      </c>
    </row>
    <row r="263">
      <c r="A263" s="9">
        <f>A38</f>
        <v/>
      </c>
      <c r="B263" s="13">
        <f>(B38-$B$228)/($B$227-$B$228)</f>
        <v/>
      </c>
      <c r="C263" s="13">
        <f>(C38-$C$228)/($C$227-$C$228)</f>
        <v/>
      </c>
      <c r="D263" s="13">
        <f>(D38-$D$228)/($D$227-$D$228)</f>
        <v/>
      </c>
      <c r="E263" s="13">
        <f>(E38-$E$228)/($E$227-$E$228)</f>
        <v/>
      </c>
      <c r="F263" s="13">
        <f>(F38-$F$228)/($F$227-$F$228)</f>
        <v/>
      </c>
      <c r="G263" s="13">
        <f>(B263*$B$5)+(C263*$C$5)+(D263*$D$5)+(E263*$E$5)+(F263*$F$5)</f>
        <v/>
      </c>
      <c r="H263" s="8">
        <f>RANK(G263,$G$231:$G$451)</f>
        <v/>
      </c>
    </row>
    <row r="264">
      <c r="A264" s="9">
        <f>A39</f>
        <v/>
      </c>
      <c r="B264" s="13">
        <f>(B39-$B$228)/($B$227-$B$228)</f>
        <v/>
      </c>
      <c r="C264" s="13">
        <f>(C39-$C$228)/($C$227-$C$228)</f>
        <v/>
      </c>
      <c r="D264" s="13">
        <f>(D39-$D$228)/($D$227-$D$228)</f>
        <v/>
      </c>
      <c r="E264" s="13">
        <f>(E39-$E$228)/($E$227-$E$228)</f>
        <v/>
      </c>
      <c r="F264" s="13">
        <f>(F39-$F$228)/($F$227-$F$228)</f>
        <v/>
      </c>
      <c r="G264" s="13">
        <f>(B264*$B$5)+(C264*$C$5)+(D264*$D$5)+(E264*$E$5)+(F264*$F$5)</f>
        <v/>
      </c>
      <c r="H264" s="8">
        <f>RANK(G264,$G$231:$G$451)</f>
        <v/>
      </c>
    </row>
    <row r="265">
      <c r="A265" s="9">
        <f>A40</f>
        <v/>
      </c>
      <c r="B265" s="13">
        <f>(B40-$B$228)/($B$227-$B$228)</f>
        <v/>
      </c>
      <c r="C265" s="13">
        <f>(C40-$C$228)/($C$227-$C$228)</f>
        <v/>
      </c>
      <c r="D265" s="13">
        <f>(D40-$D$228)/($D$227-$D$228)</f>
        <v/>
      </c>
      <c r="E265" s="13">
        <f>(E40-$E$228)/($E$227-$E$228)</f>
        <v/>
      </c>
      <c r="F265" s="13">
        <f>(F40-$F$228)/($F$227-$F$228)</f>
        <v/>
      </c>
      <c r="G265" s="13">
        <f>(B265*$B$5)+(C265*$C$5)+(D265*$D$5)+(E265*$E$5)+(F265*$F$5)</f>
        <v/>
      </c>
      <c r="H265" s="8">
        <f>RANK(G265,$G$231:$G$451)</f>
        <v/>
      </c>
    </row>
    <row r="266">
      <c r="A266" s="9">
        <f>A41</f>
        <v/>
      </c>
      <c r="B266" s="13">
        <f>(B41-$B$228)/($B$227-$B$228)</f>
        <v/>
      </c>
      <c r="C266" s="13">
        <f>(C41-$C$228)/($C$227-$C$228)</f>
        <v/>
      </c>
      <c r="D266" s="13">
        <f>(D41-$D$228)/($D$227-$D$228)</f>
        <v/>
      </c>
      <c r="E266" s="13">
        <f>(E41-$E$228)/($E$227-$E$228)</f>
        <v/>
      </c>
      <c r="F266" s="13">
        <f>(F41-$F$228)/($F$227-$F$228)</f>
        <v/>
      </c>
      <c r="G266" s="13">
        <f>(B266*$B$5)+(C266*$C$5)+(D266*$D$5)+(E266*$E$5)+(F266*$F$5)</f>
        <v/>
      </c>
      <c r="H266" s="8">
        <f>RANK(G266,$G$231:$G$451)</f>
        <v/>
      </c>
    </row>
    <row r="267">
      <c r="A267" s="9">
        <f>A42</f>
        <v/>
      </c>
      <c r="B267" s="13">
        <f>(B42-$B$228)/($B$227-$B$228)</f>
        <v/>
      </c>
      <c r="C267" s="13">
        <f>(C42-$C$228)/($C$227-$C$228)</f>
        <v/>
      </c>
      <c r="D267" s="13">
        <f>(D42-$D$228)/($D$227-$D$228)</f>
        <v/>
      </c>
      <c r="E267" s="13">
        <f>(E42-$E$228)/($E$227-$E$228)</f>
        <v/>
      </c>
      <c r="F267" s="13">
        <f>(F42-$F$228)/($F$227-$F$228)</f>
        <v/>
      </c>
      <c r="G267" s="13">
        <f>(B267*$B$5)+(C267*$C$5)+(D267*$D$5)+(E267*$E$5)+(F267*$F$5)</f>
        <v/>
      </c>
      <c r="H267" s="8">
        <f>RANK(G267,$G$231:$G$451)</f>
        <v/>
      </c>
    </row>
    <row r="268">
      <c r="A268" s="9">
        <f>A43</f>
        <v/>
      </c>
      <c r="B268" s="13">
        <f>(B43-$B$228)/($B$227-$B$228)</f>
        <v/>
      </c>
      <c r="C268" s="13">
        <f>(C43-$C$228)/($C$227-$C$228)</f>
        <v/>
      </c>
      <c r="D268" s="13">
        <f>(D43-$D$228)/($D$227-$D$228)</f>
        <v/>
      </c>
      <c r="E268" s="13">
        <f>(E43-$E$228)/($E$227-$E$228)</f>
        <v/>
      </c>
      <c r="F268" s="13">
        <f>(F43-$F$228)/($F$227-$F$228)</f>
        <v/>
      </c>
      <c r="G268" s="13">
        <f>(B268*$B$5)+(C268*$C$5)+(D268*$D$5)+(E268*$E$5)+(F268*$F$5)</f>
        <v/>
      </c>
      <c r="H268" s="8">
        <f>RANK(G268,$G$231:$G$451)</f>
        <v/>
      </c>
    </row>
    <row r="269">
      <c r="A269" s="9">
        <f>A44</f>
        <v/>
      </c>
      <c r="B269" s="13">
        <f>(B44-$B$228)/($B$227-$B$228)</f>
        <v/>
      </c>
      <c r="C269" s="13">
        <f>(C44-$C$228)/($C$227-$C$228)</f>
        <v/>
      </c>
      <c r="D269" s="13">
        <f>(D44-$D$228)/($D$227-$D$228)</f>
        <v/>
      </c>
      <c r="E269" s="13">
        <f>(E44-$E$228)/($E$227-$E$228)</f>
        <v/>
      </c>
      <c r="F269" s="13">
        <f>(F44-$F$228)/($F$227-$F$228)</f>
        <v/>
      </c>
      <c r="G269" s="13">
        <f>(B269*$B$5)+(C269*$C$5)+(D269*$D$5)+(E269*$E$5)+(F269*$F$5)</f>
        <v/>
      </c>
      <c r="H269" s="8">
        <f>RANK(G269,$G$231:$G$451)</f>
        <v/>
      </c>
    </row>
    <row r="270">
      <c r="A270" s="9">
        <f>A45</f>
        <v/>
      </c>
      <c r="B270" s="13">
        <f>(B45-$B$228)/($B$227-$B$228)</f>
        <v/>
      </c>
      <c r="C270" s="13">
        <f>(C45-$C$228)/($C$227-$C$228)</f>
        <v/>
      </c>
      <c r="D270" s="13">
        <f>(D45-$D$228)/($D$227-$D$228)</f>
        <v/>
      </c>
      <c r="E270" s="13">
        <f>(E45-$E$228)/($E$227-$E$228)</f>
        <v/>
      </c>
      <c r="F270" s="13">
        <f>(F45-$F$228)/($F$227-$F$228)</f>
        <v/>
      </c>
      <c r="G270" s="13">
        <f>(B270*$B$5)+(C270*$C$5)+(D270*$D$5)+(E270*$E$5)+(F270*$F$5)</f>
        <v/>
      </c>
      <c r="H270" s="8">
        <f>RANK(G270,$G$231:$G$451)</f>
        <v/>
      </c>
    </row>
    <row r="271">
      <c r="A271" s="9">
        <f>A46</f>
        <v/>
      </c>
      <c r="B271" s="13">
        <f>(B46-$B$228)/($B$227-$B$228)</f>
        <v/>
      </c>
      <c r="C271" s="13">
        <f>(C46-$C$228)/($C$227-$C$228)</f>
        <v/>
      </c>
      <c r="D271" s="13">
        <f>(D46-$D$228)/($D$227-$D$228)</f>
        <v/>
      </c>
      <c r="E271" s="13">
        <f>(E46-$E$228)/($E$227-$E$228)</f>
        <v/>
      </c>
      <c r="F271" s="13">
        <f>(F46-$F$228)/($F$227-$F$228)</f>
        <v/>
      </c>
      <c r="G271" s="13">
        <f>(B271*$B$5)+(C271*$C$5)+(D271*$D$5)+(E271*$E$5)+(F271*$F$5)</f>
        <v/>
      </c>
      <c r="H271" s="8">
        <f>RANK(G271,$G$231:$G$451)</f>
        <v/>
      </c>
    </row>
    <row r="272">
      <c r="A272" s="9">
        <f>A47</f>
        <v/>
      </c>
      <c r="B272" s="13">
        <f>(B47-$B$228)/($B$227-$B$228)</f>
        <v/>
      </c>
      <c r="C272" s="13">
        <f>(C47-$C$228)/($C$227-$C$228)</f>
        <v/>
      </c>
      <c r="D272" s="13">
        <f>(D47-$D$228)/($D$227-$D$228)</f>
        <v/>
      </c>
      <c r="E272" s="13">
        <f>(E47-$E$228)/($E$227-$E$228)</f>
        <v/>
      </c>
      <c r="F272" s="13">
        <f>(F47-$F$228)/($F$227-$F$228)</f>
        <v/>
      </c>
      <c r="G272" s="13">
        <f>(B272*$B$5)+(C272*$C$5)+(D272*$D$5)+(E272*$E$5)+(F272*$F$5)</f>
        <v/>
      </c>
      <c r="H272" s="8">
        <f>RANK(G272,$G$231:$G$451)</f>
        <v/>
      </c>
    </row>
    <row r="273">
      <c r="A273" s="9">
        <f>A48</f>
        <v/>
      </c>
      <c r="B273" s="13">
        <f>(B48-$B$228)/($B$227-$B$228)</f>
        <v/>
      </c>
      <c r="C273" s="13">
        <f>(C48-$C$228)/($C$227-$C$228)</f>
        <v/>
      </c>
      <c r="D273" s="13">
        <f>(D48-$D$228)/($D$227-$D$228)</f>
        <v/>
      </c>
      <c r="E273" s="13">
        <f>(E48-$E$228)/($E$227-$E$228)</f>
        <v/>
      </c>
      <c r="F273" s="13">
        <f>(F48-$F$228)/($F$227-$F$228)</f>
        <v/>
      </c>
      <c r="G273" s="13">
        <f>(B273*$B$5)+(C273*$C$5)+(D273*$D$5)+(E273*$E$5)+(F273*$F$5)</f>
        <v/>
      </c>
      <c r="H273" s="8">
        <f>RANK(G273,$G$231:$G$451)</f>
        <v/>
      </c>
    </row>
    <row r="274">
      <c r="A274" s="9">
        <f>A49</f>
        <v/>
      </c>
      <c r="B274" s="13">
        <f>(B49-$B$228)/($B$227-$B$228)</f>
        <v/>
      </c>
      <c r="C274" s="13">
        <f>(C49-$C$228)/($C$227-$C$228)</f>
        <v/>
      </c>
      <c r="D274" s="13">
        <f>(D49-$D$228)/($D$227-$D$228)</f>
        <v/>
      </c>
      <c r="E274" s="13">
        <f>(E49-$E$228)/($E$227-$E$228)</f>
        <v/>
      </c>
      <c r="F274" s="13">
        <f>(F49-$F$228)/($F$227-$F$228)</f>
        <v/>
      </c>
      <c r="G274" s="13">
        <f>(B274*$B$5)+(C274*$C$5)+(D274*$D$5)+(E274*$E$5)+(F274*$F$5)</f>
        <v/>
      </c>
      <c r="H274" s="8">
        <f>RANK(G274,$G$231:$G$451)</f>
        <v/>
      </c>
    </row>
    <row r="275">
      <c r="A275" s="9">
        <f>A50</f>
        <v/>
      </c>
      <c r="B275" s="13">
        <f>(B50-$B$228)/($B$227-$B$228)</f>
        <v/>
      </c>
      <c r="C275" s="13">
        <f>(C50-$C$228)/($C$227-$C$228)</f>
        <v/>
      </c>
      <c r="D275" s="13">
        <f>(D50-$D$228)/($D$227-$D$228)</f>
        <v/>
      </c>
      <c r="E275" s="13">
        <f>(E50-$E$228)/($E$227-$E$228)</f>
        <v/>
      </c>
      <c r="F275" s="13">
        <f>(F50-$F$228)/($F$227-$F$228)</f>
        <v/>
      </c>
      <c r="G275" s="13">
        <f>(B275*$B$5)+(C275*$C$5)+(D275*$D$5)+(E275*$E$5)+(F275*$F$5)</f>
        <v/>
      </c>
      <c r="H275" s="8">
        <f>RANK(G275,$G$231:$G$451)</f>
        <v/>
      </c>
    </row>
    <row r="276">
      <c r="A276" s="9">
        <f>A51</f>
        <v/>
      </c>
      <c r="B276" s="13">
        <f>(B51-$B$228)/($B$227-$B$228)</f>
        <v/>
      </c>
      <c r="C276" s="13">
        <f>(C51-$C$228)/($C$227-$C$228)</f>
        <v/>
      </c>
      <c r="D276" s="13">
        <f>(D51-$D$228)/($D$227-$D$228)</f>
        <v/>
      </c>
      <c r="E276" s="13">
        <f>(E51-$E$228)/($E$227-$E$228)</f>
        <v/>
      </c>
      <c r="F276" s="13">
        <f>(F51-$F$228)/($F$227-$F$228)</f>
        <v/>
      </c>
      <c r="G276" s="13">
        <f>(B276*$B$5)+(C276*$C$5)+(D276*$D$5)+(E276*$E$5)+(F276*$F$5)</f>
        <v/>
      </c>
      <c r="H276" s="8">
        <f>RANK(G276,$G$231:$G$451)</f>
        <v/>
      </c>
    </row>
    <row r="277">
      <c r="A277" s="9">
        <f>A52</f>
        <v/>
      </c>
      <c r="B277" s="13">
        <f>(B52-$B$228)/($B$227-$B$228)</f>
        <v/>
      </c>
      <c r="C277" s="13">
        <f>(C52-$C$228)/($C$227-$C$228)</f>
        <v/>
      </c>
      <c r="D277" s="13">
        <f>(D52-$D$228)/($D$227-$D$228)</f>
        <v/>
      </c>
      <c r="E277" s="13">
        <f>(E52-$E$228)/($E$227-$E$228)</f>
        <v/>
      </c>
      <c r="F277" s="13">
        <f>(F52-$F$228)/($F$227-$F$228)</f>
        <v/>
      </c>
      <c r="G277" s="13">
        <f>(B277*$B$5)+(C277*$C$5)+(D277*$D$5)+(E277*$E$5)+(F277*$F$5)</f>
        <v/>
      </c>
      <c r="H277" s="8">
        <f>RANK(G277,$G$231:$G$451)</f>
        <v/>
      </c>
    </row>
    <row r="278">
      <c r="A278" s="9">
        <f>A53</f>
        <v/>
      </c>
      <c r="B278" s="13">
        <f>(B53-$B$228)/($B$227-$B$228)</f>
        <v/>
      </c>
      <c r="C278" s="13">
        <f>(C53-$C$228)/($C$227-$C$228)</f>
        <v/>
      </c>
      <c r="D278" s="13">
        <f>(D53-$D$228)/($D$227-$D$228)</f>
        <v/>
      </c>
      <c r="E278" s="13">
        <f>(E53-$E$228)/($E$227-$E$228)</f>
        <v/>
      </c>
      <c r="F278" s="13">
        <f>(F53-$F$228)/($F$227-$F$228)</f>
        <v/>
      </c>
      <c r="G278" s="13">
        <f>(B278*$B$5)+(C278*$C$5)+(D278*$D$5)+(E278*$E$5)+(F278*$F$5)</f>
        <v/>
      </c>
      <c r="H278" s="8">
        <f>RANK(G278,$G$231:$G$451)</f>
        <v/>
      </c>
    </row>
    <row r="279">
      <c r="A279" s="9">
        <f>A54</f>
        <v/>
      </c>
      <c r="B279" s="13">
        <f>(B54-$B$228)/($B$227-$B$228)</f>
        <v/>
      </c>
      <c r="C279" s="13">
        <f>(C54-$C$228)/($C$227-$C$228)</f>
        <v/>
      </c>
      <c r="D279" s="13">
        <f>(D54-$D$228)/($D$227-$D$228)</f>
        <v/>
      </c>
      <c r="E279" s="13">
        <f>(E54-$E$228)/($E$227-$E$228)</f>
        <v/>
      </c>
      <c r="F279" s="13">
        <f>(F54-$F$228)/($F$227-$F$228)</f>
        <v/>
      </c>
      <c r="G279" s="13">
        <f>(B279*$B$5)+(C279*$C$5)+(D279*$D$5)+(E279*$E$5)+(F279*$F$5)</f>
        <v/>
      </c>
      <c r="H279" s="8">
        <f>RANK(G279,$G$231:$G$451)</f>
        <v/>
      </c>
    </row>
    <row r="280">
      <c r="A280" s="9">
        <f>A55</f>
        <v/>
      </c>
      <c r="B280" s="13">
        <f>(B55-$B$228)/($B$227-$B$228)</f>
        <v/>
      </c>
      <c r="C280" s="13">
        <f>(C55-$C$228)/($C$227-$C$228)</f>
        <v/>
      </c>
      <c r="D280" s="13">
        <f>(D55-$D$228)/($D$227-$D$228)</f>
        <v/>
      </c>
      <c r="E280" s="13">
        <f>(E55-$E$228)/($E$227-$E$228)</f>
        <v/>
      </c>
      <c r="F280" s="13">
        <f>(F55-$F$228)/($F$227-$F$228)</f>
        <v/>
      </c>
      <c r="G280" s="13">
        <f>(B280*$B$5)+(C280*$C$5)+(D280*$D$5)+(E280*$E$5)+(F280*$F$5)</f>
        <v/>
      </c>
      <c r="H280" s="8">
        <f>RANK(G280,$G$231:$G$451)</f>
        <v/>
      </c>
    </row>
    <row r="281">
      <c r="A281" s="9">
        <f>A56</f>
        <v/>
      </c>
      <c r="B281" s="13">
        <f>(B56-$B$228)/($B$227-$B$228)</f>
        <v/>
      </c>
      <c r="C281" s="13">
        <f>(C56-$C$228)/($C$227-$C$228)</f>
        <v/>
      </c>
      <c r="D281" s="13">
        <f>(D56-$D$228)/($D$227-$D$228)</f>
        <v/>
      </c>
      <c r="E281" s="13">
        <f>(E56-$E$228)/($E$227-$E$228)</f>
        <v/>
      </c>
      <c r="F281" s="13">
        <f>(F56-$F$228)/($F$227-$F$228)</f>
        <v/>
      </c>
      <c r="G281" s="13">
        <f>(B281*$B$5)+(C281*$C$5)+(D281*$D$5)+(E281*$E$5)+(F281*$F$5)</f>
        <v/>
      </c>
      <c r="H281" s="8">
        <f>RANK(G281,$G$231:$G$451)</f>
        <v/>
      </c>
    </row>
    <row r="282">
      <c r="A282" s="9">
        <f>A57</f>
        <v/>
      </c>
      <c r="B282" s="13">
        <f>(B57-$B$228)/($B$227-$B$228)</f>
        <v/>
      </c>
      <c r="C282" s="13">
        <f>(C57-$C$228)/($C$227-$C$228)</f>
        <v/>
      </c>
      <c r="D282" s="13">
        <f>(D57-$D$228)/($D$227-$D$228)</f>
        <v/>
      </c>
      <c r="E282" s="13">
        <f>(E57-$E$228)/($E$227-$E$228)</f>
        <v/>
      </c>
      <c r="F282" s="13">
        <f>(F57-$F$228)/($F$227-$F$228)</f>
        <v/>
      </c>
      <c r="G282" s="13">
        <f>(B282*$B$5)+(C282*$C$5)+(D282*$D$5)+(E282*$E$5)+(F282*$F$5)</f>
        <v/>
      </c>
      <c r="H282" s="8">
        <f>RANK(G282,$G$231:$G$451)</f>
        <v/>
      </c>
    </row>
    <row r="283">
      <c r="A283" s="9">
        <f>A58</f>
        <v/>
      </c>
      <c r="B283" s="13">
        <f>(B58-$B$228)/($B$227-$B$228)</f>
        <v/>
      </c>
      <c r="C283" s="13">
        <f>(C58-$C$228)/($C$227-$C$228)</f>
        <v/>
      </c>
      <c r="D283" s="13">
        <f>(D58-$D$228)/($D$227-$D$228)</f>
        <v/>
      </c>
      <c r="E283" s="13">
        <f>(E58-$E$228)/($E$227-$E$228)</f>
        <v/>
      </c>
      <c r="F283" s="13">
        <f>(F58-$F$228)/($F$227-$F$228)</f>
        <v/>
      </c>
      <c r="G283" s="13">
        <f>(B283*$B$5)+(C283*$C$5)+(D283*$D$5)+(E283*$E$5)+(F283*$F$5)</f>
        <v/>
      </c>
      <c r="H283" s="8">
        <f>RANK(G283,$G$231:$G$451)</f>
        <v/>
      </c>
    </row>
    <row r="284">
      <c r="A284" s="9">
        <f>A59</f>
        <v/>
      </c>
      <c r="B284" s="13">
        <f>(B59-$B$228)/($B$227-$B$228)</f>
        <v/>
      </c>
      <c r="C284" s="13">
        <f>(C59-$C$228)/($C$227-$C$228)</f>
        <v/>
      </c>
      <c r="D284" s="13">
        <f>(D59-$D$228)/($D$227-$D$228)</f>
        <v/>
      </c>
      <c r="E284" s="13">
        <f>(E59-$E$228)/($E$227-$E$228)</f>
        <v/>
      </c>
      <c r="F284" s="13">
        <f>(F59-$F$228)/($F$227-$F$228)</f>
        <v/>
      </c>
      <c r="G284" s="13">
        <f>(B284*$B$5)+(C284*$C$5)+(D284*$D$5)+(E284*$E$5)+(F284*$F$5)</f>
        <v/>
      </c>
      <c r="H284" s="8">
        <f>RANK(G284,$G$231:$G$451)</f>
        <v/>
      </c>
    </row>
    <row r="285">
      <c r="A285" s="9">
        <f>A60</f>
        <v/>
      </c>
      <c r="B285" s="13">
        <f>(B60-$B$228)/($B$227-$B$228)</f>
        <v/>
      </c>
      <c r="C285" s="13">
        <f>(C60-$C$228)/($C$227-$C$228)</f>
        <v/>
      </c>
      <c r="D285" s="13">
        <f>(D60-$D$228)/($D$227-$D$228)</f>
        <v/>
      </c>
      <c r="E285" s="13">
        <f>(E60-$E$228)/($E$227-$E$228)</f>
        <v/>
      </c>
      <c r="F285" s="13">
        <f>(F60-$F$228)/($F$227-$F$228)</f>
        <v/>
      </c>
      <c r="G285" s="13">
        <f>(B285*$B$5)+(C285*$C$5)+(D285*$D$5)+(E285*$E$5)+(F285*$F$5)</f>
        <v/>
      </c>
      <c r="H285" s="8">
        <f>RANK(G285,$G$231:$G$451)</f>
        <v/>
      </c>
    </row>
    <row r="286">
      <c r="A286" s="9">
        <f>A61</f>
        <v/>
      </c>
      <c r="B286" s="13">
        <f>(B61-$B$228)/($B$227-$B$228)</f>
        <v/>
      </c>
      <c r="C286" s="13">
        <f>(C61-$C$228)/($C$227-$C$228)</f>
        <v/>
      </c>
      <c r="D286" s="13">
        <f>(D61-$D$228)/($D$227-$D$228)</f>
        <v/>
      </c>
      <c r="E286" s="13">
        <f>(E61-$E$228)/($E$227-$E$228)</f>
        <v/>
      </c>
      <c r="F286" s="13">
        <f>(F61-$F$228)/($F$227-$F$228)</f>
        <v/>
      </c>
      <c r="G286" s="13">
        <f>(B286*$B$5)+(C286*$C$5)+(D286*$D$5)+(E286*$E$5)+(F286*$F$5)</f>
        <v/>
      </c>
      <c r="H286" s="8">
        <f>RANK(G286,$G$231:$G$451)</f>
        <v/>
      </c>
    </row>
    <row r="287">
      <c r="A287" s="9">
        <f>A62</f>
        <v/>
      </c>
      <c r="B287" s="13">
        <f>(B62-$B$228)/($B$227-$B$228)</f>
        <v/>
      </c>
      <c r="C287" s="13">
        <f>(C62-$C$228)/($C$227-$C$228)</f>
        <v/>
      </c>
      <c r="D287" s="13">
        <f>(D62-$D$228)/($D$227-$D$228)</f>
        <v/>
      </c>
      <c r="E287" s="13">
        <f>(E62-$E$228)/($E$227-$E$228)</f>
        <v/>
      </c>
      <c r="F287" s="13">
        <f>(F62-$F$228)/($F$227-$F$228)</f>
        <v/>
      </c>
      <c r="G287" s="13">
        <f>(B287*$B$5)+(C287*$C$5)+(D287*$D$5)+(E287*$E$5)+(F287*$F$5)</f>
        <v/>
      </c>
      <c r="H287" s="8">
        <f>RANK(G287,$G$231:$G$451)</f>
        <v/>
      </c>
    </row>
    <row r="288">
      <c r="A288" s="9">
        <f>A63</f>
        <v/>
      </c>
      <c r="B288" s="13">
        <f>(B63-$B$228)/($B$227-$B$228)</f>
        <v/>
      </c>
      <c r="C288" s="13">
        <f>(C63-$C$228)/($C$227-$C$228)</f>
        <v/>
      </c>
      <c r="D288" s="13">
        <f>(D63-$D$228)/($D$227-$D$228)</f>
        <v/>
      </c>
      <c r="E288" s="13">
        <f>(E63-$E$228)/($E$227-$E$228)</f>
        <v/>
      </c>
      <c r="F288" s="13">
        <f>(F63-$F$228)/($F$227-$F$228)</f>
        <v/>
      </c>
      <c r="G288" s="13">
        <f>(B288*$B$5)+(C288*$C$5)+(D288*$D$5)+(E288*$E$5)+(F288*$F$5)</f>
        <v/>
      </c>
      <c r="H288" s="8">
        <f>RANK(G288,$G$231:$G$451)</f>
        <v/>
      </c>
    </row>
    <row r="289">
      <c r="A289" s="9">
        <f>A64</f>
        <v/>
      </c>
      <c r="B289" s="13">
        <f>(B64-$B$228)/($B$227-$B$228)</f>
        <v/>
      </c>
      <c r="C289" s="13">
        <f>(C64-$C$228)/($C$227-$C$228)</f>
        <v/>
      </c>
      <c r="D289" s="13">
        <f>(D64-$D$228)/($D$227-$D$228)</f>
        <v/>
      </c>
      <c r="E289" s="13">
        <f>(E64-$E$228)/($E$227-$E$228)</f>
        <v/>
      </c>
      <c r="F289" s="13">
        <f>(F64-$F$228)/($F$227-$F$228)</f>
        <v/>
      </c>
      <c r="G289" s="13">
        <f>(B289*$B$5)+(C289*$C$5)+(D289*$D$5)+(E289*$E$5)+(F289*$F$5)</f>
        <v/>
      </c>
      <c r="H289" s="8">
        <f>RANK(G289,$G$231:$G$451)</f>
        <v/>
      </c>
    </row>
    <row r="290">
      <c r="A290" s="9">
        <f>A65</f>
        <v/>
      </c>
      <c r="B290" s="13">
        <f>(B65-$B$228)/($B$227-$B$228)</f>
        <v/>
      </c>
      <c r="C290" s="13">
        <f>(C65-$C$228)/($C$227-$C$228)</f>
        <v/>
      </c>
      <c r="D290" s="13">
        <f>(D65-$D$228)/($D$227-$D$228)</f>
        <v/>
      </c>
      <c r="E290" s="13">
        <f>(E65-$E$228)/($E$227-$E$228)</f>
        <v/>
      </c>
      <c r="F290" s="13">
        <f>(F65-$F$228)/($F$227-$F$228)</f>
        <v/>
      </c>
      <c r="G290" s="13">
        <f>(B290*$B$5)+(C290*$C$5)+(D290*$D$5)+(E290*$E$5)+(F290*$F$5)</f>
        <v/>
      </c>
      <c r="H290" s="8">
        <f>RANK(G290,$G$231:$G$451)</f>
        <v/>
      </c>
    </row>
    <row r="291">
      <c r="A291" s="9">
        <f>A66</f>
        <v/>
      </c>
      <c r="B291" s="13">
        <f>(B66-$B$228)/($B$227-$B$228)</f>
        <v/>
      </c>
      <c r="C291" s="13">
        <f>(C66-$C$228)/($C$227-$C$228)</f>
        <v/>
      </c>
      <c r="D291" s="13">
        <f>(D66-$D$228)/($D$227-$D$228)</f>
        <v/>
      </c>
      <c r="E291" s="13">
        <f>(E66-$E$228)/($E$227-$E$228)</f>
        <v/>
      </c>
      <c r="F291" s="13">
        <f>(F66-$F$228)/($F$227-$F$228)</f>
        <v/>
      </c>
      <c r="G291" s="13">
        <f>(B291*$B$5)+(C291*$C$5)+(D291*$D$5)+(E291*$E$5)+(F291*$F$5)</f>
        <v/>
      </c>
      <c r="H291" s="8">
        <f>RANK(G291,$G$231:$G$451)</f>
        <v/>
      </c>
    </row>
    <row r="292">
      <c r="A292" s="9">
        <f>A67</f>
        <v/>
      </c>
      <c r="B292" s="13">
        <f>(B67-$B$228)/($B$227-$B$228)</f>
        <v/>
      </c>
      <c r="C292" s="13">
        <f>(C67-$C$228)/($C$227-$C$228)</f>
        <v/>
      </c>
      <c r="D292" s="13">
        <f>(D67-$D$228)/($D$227-$D$228)</f>
        <v/>
      </c>
      <c r="E292" s="13">
        <f>(E67-$E$228)/($E$227-$E$228)</f>
        <v/>
      </c>
      <c r="F292" s="13">
        <f>(F67-$F$228)/($F$227-$F$228)</f>
        <v/>
      </c>
      <c r="G292" s="13">
        <f>(B292*$B$5)+(C292*$C$5)+(D292*$D$5)+(E292*$E$5)+(F292*$F$5)</f>
        <v/>
      </c>
      <c r="H292" s="8">
        <f>RANK(G292,$G$231:$G$451)</f>
        <v/>
      </c>
    </row>
    <row r="293">
      <c r="A293" s="9">
        <f>A68</f>
        <v/>
      </c>
      <c r="B293" s="13">
        <f>(B68-$B$228)/($B$227-$B$228)</f>
        <v/>
      </c>
      <c r="C293" s="13">
        <f>(C68-$C$228)/($C$227-$C$228)</f>
        <v/>
      </c>
      <c r="D293" s="13">
        <f>(D68-$D$228)/($D$227-$D$228)</f>
        <v/>
      </c>
      <c r="E293" s="13">
        <f>(E68-$E$228)/($E$227-$E$228)</f>
        <v/>
      </c>
      <c r="F293" s="13">
        <f>(F68-$F$228)/($F$227-$F$228)</f>
        <v/>
      </c>
      <c r="G293" s="13">
        <f>(B293*$B$5)+(C293*$C$5)+(D293*$D$5)+(E293*$E$5)+(F293*$F$5)</f>
        <v/>
      </c>
      <c r="H293" s="8">
        <f>RANK(G293,$G$231:$G$451)</f>
        <v/>
      </c>
    </row>
    <row r="294">
      <c r="A294" s="9">
        <f>A69</f>
        <v/>
      </c>
      <c r="B294" s="13">
        <f>(B69-$B$228)/($B$227-$B$228)</f>
        <v/>
      </c>
      <c r="C294" s="13">
        <f>(C69-$C$228)/($C$227-$C$228)</f>
        <v/>
      </c>
      <c r="D294" s="13">
        <f>(D69-$D$228)/($D$227-$D$228)</f>
        <v/>
      </c>
      <c r="E294" s="13">
        <f>(E69-$E$228)/($E$227-$E$228)</f>
        <v/>
      </c>
      <c r="F294" s="13">
        <f>(F69-$F$228)/($F$227-$F$228)</f>
        <v/>
      </c>
      <c r="G294" s="13">
        <f>(B294*$B$5)+(C294*$C$5)+(D294*$D$5)+(E294*$E$5)+(F294*$F$5)</f>
        <v/>
      </c>
      <c r="H294" s="8">
        <f>RANK(G294,$G$231:$G$451)</f>
        <v/>
      </c>
    </row>
    <row r="295">
      <c r="A295" s="9">
        <f>A70</f>
        <v/>
      </c>
      <c r="B295" s="13">
        <f>(B70-$B$228)/($B$227-$B$228)</f>
        <v/>
      </c>
      <c r="C295" s="13">
        <f>(C70-$C$228)/($C$227-$C$228)</f>
        <v/>
      </c>
      <c r="D295" s="13">
        <f>(D70-$D$228)/($D$227-$D$228)</f>
        <v/>
      </c>
      <c r="E295" s="13">
        <f>(E70-$E$228)/($E$227-$E$228)</f>
        <v/>
      </c>
      <c r="F295" s="13">
        <f>(F70-$F$228)/($F$227-$F$228)</f>
        <v/>
      </c>
      <c r="G295" s="13">
        <f>(B295*$B$5)+(C295*$C$5)+(D295*$D$5)+(E295*$E$5)+(F295*$F$5)</f>
        <v/>
      </c>
      <c r="H295" s="8">
        <f>RANK(G295,$G$231:$G$451)</f>
        <v/>
      </c>
    </row>
    <row r="296">
      <c r="A296" s="9">
        <f>A71</f>
        <v/>
      </c>
      <c r="B296" s="13">
        <f>(B71-$B$228)/($B$227-$B$228)</f>
        <v/>
      </c>
      <c r="C296" s="13">
        <f>(C71-$C$228)/($C$227-$C$228)</f>
        <v/>
      </c>
      <c r="D296" s="13">
        <f>(D71-$D$228)/($D$227-$D$228)</f>
        <v/>
      </c>
      <c r="E296" s="13">
        <f>(E71-$E$228)/($E$227-$E$228)</f>
        <v/>
      </c>
      <c r="F296" s="13">
        <f>(F71-$F$228)/($F$227-$F$228)</f>
        <v/>
      </c>
      <c r="G296" s="13">
        <f>(B296*$B$5)+(C296*$C$5)+(D296*$D$5)+(E296*$E$5)+(F296*$F$5)</f>
        <v/>
      </c>
      <c r="H296" s="8">
        <f>RANK(G296,$G$231:$G$451)</f>
        <v/>
      </c>
    </row>
    <row r="297">
      <c r="A297" s="9">
        <f>A72</f>
        <v/>
      </c>
      <c r="B297" s="13">
        <f>(B72-$B$228)/($B$227-$B$228)</f>
        <v/>
      </c>
      <c r="C297" s="13">
        <f>(C72-$C$228)/($C$227-$C$228)</f>
        <v/>
      </c>
      <c r="D297" s="13">
        <f>(D72-$D$228)/($D$227-$D$228)</f>
        <v/>
      </c>
      <c r="E297" s="13">
        <f>(E72-$E$228)/($E$227-$E$228)</f>
        <v/>
      </c>
      <c r="F297" s="13">
        <f>(F72-$F$228)/($F$227-$F$228)</f>
        <v/>
      </c>
      <c r="G297" s="13">
        <f>(B297*$B$5)+(C297*$C$5)+(D297*$D$5)+(E297*$E$5)+(F297*$F$5)</f>
        <v/>
      </c>
      <c r="H297" s="8">
        <f>RANK(G297,$G$231:$G$451)</f>
        <v/>
      </c>
    </row>
    <row r="298">
      <c r="A298" s="9">
        <f>A73</f>
        <v/>
      </c>
      <c r="B298" s="13">
        <f>(B73-$B$228)/($B$227-$B$228)</f>
        <v/>
      </c>
      <c r="C298" s="13">
        <f>(C73-$C$228)/($C$227-$C$228)</f>
        <v/>
      </c>
      <c r="D298" s="13">
        <f>(D73-$D$228)/($D$227-$D$228)</f>
        <v/>
      </c>
      <c r="E298" s="13">
        <f>(E73-$E$228)/($E$227-$E$228)</f>
        <v/>
      </c>
      <c r="F298" s="13">
        <f>(F73-$F$228)/($F$227-$F$228)</f>
        <v/>
      </c>
      <c r="G298" s="13">
        <f>(B298*$B$5)+(C298*$C$5)+(D298*$D$5)+(E298*$E$5)+(F298*$F$5)</f>
        <v/>
      </c>
      <c r="H298" s="8">
        <f>RANK(G298,$G$231:$G$451)</f>
        <v/>
      </c>
    </row>
    <row r="299">
      <c r="A299" s="9">
        <f>A74</f>
        <v/>
      </c>
      <c r="B299" s="13">
        <f>(B74-$B$228)/($B$227-$B$228)</f>
        <v/>
      </c>
      <c r="C299" s="13">
        <f>(C74-$C$228)/($C$227-$C$228)</f>
        <v/>
      </c>
      <c r="D299" s="13">
        <f>(D74-$D$228)/($D$227-$D$228)</f>
        <v/>
      </c>
      <c r="E299" s="13">
        <f>(E74-$E$228)/($E$227-$E$228)</f>
        <v/>
      </c>
      <c r="F299" s="13">
        <f>(F74-$F$228)/($F$227-$F$228)</f>
        <v/>
      </c>
      <c r="G299" s="13">
        <f>(B299*$B$5)+(C299*$C$5)+(D299*$D$5)+(E299*$E$5)+(F299*$F$5)</f>
        <v/>
      </c>
      <c r="H299" s="8">
        <f>RANK(G299,$G$231:$G$451)</f>
        <v/>
      </c>
    </row>
    <row r="300">
      <c r="A300" s="9">
        <f>A75</f>
        <v/>
      </c>
      <c r="B300" s="13">
        <f>(B75-$B$228)/($B$227-$B$228)</f>
        <v/>
      </c>
      <c r="C300" s="13">
        <f>(C75-$C$228)/($C$227-$C$228)</f>
        <v/>
      </c>
      <c r="D300" s="13">
        <f>(D75-$D$228)/($D$227-$D$228)</f>
        <v/>
      </c>
      <c r="E300" s="13">
        <f>(E75-$E$228)/($E$227-$E$228)</f>
        <v/>
      </c>
      <c r="F300" s="13">
        <f>(F75-$F$228)/($F$227-$F$228)</f>
        <v/>
      </c>
      <c r="G300" s="13">
        <f>(B300*$B$5)+(C300*$C$5)+(D300*$D$5)+(E300*$E$5)+(F300*$F$5)</f>
        <v/>
      </c>
      <c r="H300" s="8">
        <f>RANK(G300,$G$231:$G$451)</f>
        <v/>
      </c>
    </row>
    <row r="301">
      <c r="A301" s="9">
        <f>A76</f>
        <v/>
      </c>
      <c r="B301" s="13">
        <f>(B76-$B$228)/($B$227-$B$228)</f>
        <v/>
      </c>
      <c r="C301" s="13">
        <f>(C76-$C$228)/($C$227-$C$228)</f>
        <v/>
      </c>
      <c r="D301" s="13">
        <f>(D76-$D$228)/($D$227-$D$228)</f>
        <v/>
      </c>
      <c r="E301" s="13">
        <f>(E76-$E$228)/($E$227-$E$228)</f>
        <v/>
      </c>
      <c r="F301" s="13">
        <f>(F76-$F$228)/($F$227-$F$228)</f>
        <v/>
      </c>
      <c r="G301" s="13">
        <f>(B301*$B$5)+(C301*$C$5)+(D301*$D$5)+(E301*$E$5)+(F301*$F$5)</f>
        <v/>
      </c>
      <c r="H301" s="8">
        <f>RANK(G301,$G$231:$G$451)</f>
        <v/>
      </c>
    </row>
    <row r="302">
      <c r="A302" s="9">
        <f>A77</f>
        <v/>
      </c>
      <c r="B302" s="13">
        <f>(B77-$B$228)/($B$227-$B$228)</f>
        <v/>
      </c>
      <c r="C302" s="13">
        <f>(C77-$C$228)/($C$227-$C$228)</f>
        <v/>
      </c>
      <c r="D302" s="13">
        <f>(D77-$D$228)/($D$227-$D$228)</f>
        <v/>
      </c>
      <c r="E302" s="13">
        <f>(E77-$E$228)/($E$227-$E$228)</f>
        <v/>
      </c>
      <c r="F302" s="13">
        <f>(F77-$F$228)/($F$227-$F$228)</f>
        <v/>
      </c>
      <c r="G302" s="13">
        <f>(B302*$B$5)+(C302*$C$5)+(D302*$D$5)+(E302*$E$5)+(F302*$F$5)</f>
        <v/>
      </c>
      <c r="H302" s="8">
        <f>RANK(G302,$G$231:$G$451)</f>
        <v/>
      </c>
    </row>
    <row r="303">
      <c r="A303" s="9">
        <f>A78</f>
        <v/>
      </c>
      <c r="B303" s="13">
        <f>(B78-$B$228)/($B$227-$B$228)</f>
        <v/>
      </c>
      <c r="C303" s="13">
        <f>(C78-$C$228)/($C$227-$C$228)</f>
        <v/>
      </c>
      <c r="D303" s="13">
        <f>(D78-$D$228)/($D$227-$D$228)</f>
        <v/>
      </c>
      <c r="E303" s="13">
        <f>(E78-$E$228)/($E$227-$E$228)</f>
        <v/>
      </c>
      <c r="F303" s="13">
        <f>(F78-$F$228)/($F$227-$F$228)</f>
        <v/>
      </c>
      <c r="G303" s="13">
        <f>(B303*$B$5)+(C303*$C$5)+(D303*$D$5)+(E303*$E$5)+(F303*$F$5)</f>
        <v/>
      </c>
      <c r="H303" s="8">
        <f>RANK(G303,$G$231:$G$451)</f>
        <v/>
      </c>
    </row>
    <row r="304">
      <c r="A304" s="9">
        <f>A79</f>
        <v/>
      </c>
      <c r="B304" s="13">
        <f>(B79-$B$228)/($B$227-$B$228)</f>
        <v/>
      </c>
      <c r="C304" s="13">
        <f>(C79-$C$228)/($C$227-$C$228)</f>
        <v/>
      </c>
      <c r="D304" s="13">
        <f>(D79-$D$228)/($D$227-$D$228)</f>
        <v/>
      </c>
      <c r="E304" s="13">
        <f>(E79-$E$228)/($E$227-$E$228)</f>
        <v/>
      </c>
      <c r="F304" s="13">
        <f>(F79-$F$228)/($F$227-$F$228)</f>
        <v/>
      </c>
      <c r="G304" s="13">
        <f>(B304*$B$5)+(C304*$C$5)+(D304*$D$5)+(E304*$E$5)+(F304*$F$5)</f>
        <v/>
      </c>
      <c r="H304" s="8">
        <f>RANK(G304,$G$231:$G$451)</f>
        <v/>
      </c>
    </row>
    <row r="305">
      <c r="A305" s="9">
        <f>A80</f>
        <v/>
      </c>
      <c r="B305" s="13">
        <f>(B80-$B$228)/($B$227-$B$228)</f>
        <v/>
      </c>
      <c r="C305" s="13">
        <f>(C80-$C$228)/($C$227-$C$228)</f>
        <v/>
      </c>
      <c r="D305" s="13">
        <f>(D80-$D$228)/($D$227-$D$228)</f>
        <v/>
      </c>
      <c r="E305" s="13">
        <f>(E80-$E$228)/($E$227-$E$228)</f>
        <v/>
      </c>
      <c r="F305" s="13">
        <f>(F80-$F$228)/($F$227-$F$228)</f>
        <v/>
      </c>
      <c r="G305" s="13">
        <f>(B305*$B$5)+(C305*$C$5)+(D305*$D$5)+(E305*$E$5)+(F305*$F$5)</f>
        <v/>
      </c>
      <c r="H305" s="8">
        <f>RANK(G305,$G$231:$G$451)</f>
        <v/>
      </c>
    </row>
    <row r="306">
      <c r="A306" s="9">
        <f>A81</f>
        <v/>
      </c>
      <c r="B306" s="13">
        <f>(B81-$B$228)/($B$227-$B$228)</f>
        <v/>
      </c>
      <c r="C306" s="13">
        <f>(C81-$C$228)/($C$227-$C$228)</f>
        <v/>
      </c>
      <c r="D306" s="13">
        <f>(D81-$D$228)/($D$227-$D$228)</f>
        <v/>
      </c>
      <c r="E306" s="13">
        <f>(E81-$E$228)/($E$227-$E$228)</f>
        <v/>
      </c>
      <c r="F306" s="13">
        <f>(F81-$F$228)/($F$227-$F$228)</f>
        <v/>
      </c>
      <c r="G306" s="13">
        <f>(B306*$B$5)+(C306*$C$5)+(D306*$D$5)+(E306*$E$5)+(F306*$F$5)</f>
        <v/>
      </c>
      <c r="H306" s="8">
        <f>RANK(G306,$G$231:$G$451)</f>
        <v/>
      </c>
    </row>
    <row r="307">
      <c r="A307" s="9">
        <f>A82</f>
        <v/>
      </c>
      <c r="B307" s="13">
        <f>(B82-$B$228)/($B$227-$B$228)</f>
        <v/>
      </c>
      <c r="C307" s="13">
        <f>(C82-$C$228)/($C$227-$C$228)</f>
        <v/>
      </c>
      <c r="D307" s="13">
        <f>(D82-$D$228)/($D$227-$D$228)</f>
        <v/>
      </c>
      <c r="E307" s="13">
        <f>(E82-$E$228)/($E$227-$E$228)</f>
        <v/>
      </c>
      <c r="F307" s="13">
        <f>(F82-$F$228)/($F$227-$F$228)</f>
        <v/>
      </c>
      <c r="G307" s="13">
        <f>(B307*$B$5)+(C307*$C$5)+(D307*$D$5)+(E307*$E$5)+(F307*$F$5)</f>
        <v/>
      </c>
      <c r="H307" s="8">
        <f>RANK(G307,$G$231:$G$451)</f>
        <v/>
      </c>
    </row>
    <row r="308">
      <c r="A308" s="9">
        <f>A83</f>
        <v/>
      </c>
      <c r="B308" s="13">
        <f>(B83-$B$228)/($B$227-$B$228)</f>
        <v/>
      </c>
      <c r="C308" s="13">
        <f>(C83-$C$228)/($C$227-$C$228)</f>
        <v/>
      </c>
      <c r="D308" s="13">
        <f>(D83-$D$228)/($D$227-$D$228)</f>
        <v/>
      </c>
      <c r="E308" s="13">
        <f>(E83-$E$228)/($E$227-$E$228)</f>
        <v/>
      </c>
      <c r="F308" s="13">
        <f>(F83-$F$228)/($F$227-$F$228)</f>
        <v/>
      </c>
      <c r="G308" s="13">
        <f>(B308*$B$5)+(C308*$C$5)+(D308*$D$5)+(E308*$E$5)+(F308*$F$5)</f>
        <v/>
      </c>
      <c r="H308" s="8">
        <f>RANK(G308,$G$231:$G$451)</f>
        <v/>
      </c>
    </row>
    <row r="309">
      <c r="A309" s="9">
        <f>A84</f>
        <v/>
      </c>
      <c r="B309" s="13">
        <f>(B84-$B$228)/($B$227-$B$228)</f>
        <v/>
      </c>
      <c r="C309" s="13">
        <f>(C84-$C$228)/($C$227-$C$228)</f>
        <v/>
      </c>
      <c r="D309" s="13">
        <f>(D84-$D$228)/($D$227-$D$228)</f>
        <v/>
      </c>
      <c r="E309" s="13">
        <f>(E84-$E$228)/($E$227-$E$228)</f>
        <v/>
      </c>
      <c r="F309" s="13">
        <f>(F84-$F$228)/($F$227-$F$228)</f>
        <v/>
      </c>
      <c r="G309" s="13">
        <f>(B309*$B$5)+(C309*$C$5)+(D309*$D$5)+(E309*$E$5)+(F309*$F$5)</f>
        <v/>
      </c>
      <c r="H309" s="8">
        <f>RANK(G309,$G$231:$G$451)</f>
        <v/>
      </c>
    </row>
    <row r="310">
      <c r="A310" s="9">
        <f>A85</f>
        <v/>
      </c>
      <c r="B310" s="13">
        <f>(B85-$B$228)/($B$227-$B$228)</f>
        <v/>
      </c>
      <c r="C310" s="13">
        <f>(C85-$C$228)/($C$227-$C$228)</f>
        <v/>
      </c>
      <c r="D310" s="13">
        <f>(D85-$D$228)/($D$227-$D$228)</f>
        <v/>
      </c>
      <c r="E310" s="13">
        <f>(E85-$E$228)/($E$227-$E$228)</f>
        <v/>
      </c>
      <c r="F310" s="13">
        <f>(F85-$F$228)/($F$227-$F$228)</f>
        <v/>
      </c>
      <c r="G310" s="13">
        <f>(B310*$B$5)+(C310*$C$5)+(D310*$D$5)+(E310*$E$5)+(F310*$F$5)</f>
        <v/>
      </c>
      <c r="H310" s="8">
        <f>RANK(G310,$G$231:$G$451)</f>
        <v/>
      </c>
    </row>
    <row r="311">
      <c r="A311" s="9">
        <f>A86</f>
        <v/>
      </c>
      <c r="B311" s="13">
        <f>(B86-$B$228)/($B$227-$B$228)</f>
        <v/>
      </c>
      <c r="C311" s="13">
        <f>(C86-$C$228)/($C$227-$C$228)</f>
        <v/>
      </c>
      <c r="D311" s="13">
        <f>(D86-$D$228)/($D$227-$D$228)</f>
        <v/>
      </c>
      <c r="E311" s="13">
        <f>(E86-$E$228)/($E$227-$E$228)</f>
        <v/>
      </c>
      <c r="F311" s="13">
        <f>(F86-$F$228)/($F$227-$F$228)</f>
        <v/>
      </c>
      <c r="G311" s="13">
        <f>(B311*$B$5)+(C311*$C$5)+(D311*$D$5)+(E311*$E$5)+(F311*$F$5)</f>
        <v/>
      </c>
      <c r="H311" s="8">
        <f>RANK(G311,$G$231:$G$451)</f>
        <v/>
      </c>
    </row>
    <row r="312">
      <c r="A312" s="9">
        <f>A87</f>
        <v/>
      </c>
      <c r="B312" s="13">
        <f>(B87-$B$228)/($B$227-$B$228)</f>
        <v/>
      </c>
      <c r="C312" s="13">
        <f>(C87-$C$228)/($C$227-$C$228)</f>
        <v/>
      </c>
      <c r="D312" s="13">
        <f>(D87-$D$228)/($D$227-$D$228)</f>
        <v/>
      </c>
      <c r="E312" s="13">
        <f>(E87-$E$228)/($E$227-$E$228)</f>
        <v/>
      </c>
      <c r="F312" s="13">
        <f>(F87-$F$228)/($F$227-$F$228)</f>
        <v/>
      </c>
      <c r="G312" s="13">
        <f>(B312*$B$5)+(C312*$C$5)+(D312*$D$5)+(E312*$E$5)+(F312*$F$5)</f>
        <v/>
      </c>
      <c r="H312" s="8">
        <f>RANK(G312,$G$231:$G$451)</f>
        <v/>
      </c>
    </row>
    <row r="313">
      <c r="A313" s="9">
        <f>A88</f>
        <v/>
      </c>
      <c r="B313" s="13">
        <f>(B88-$B$228)/($B$227-$B$228)</f>
        <v/>
      </c>
      <c r="C313" s="13">
        <f>(C88-$C$228)/($C$227-$C$228)</f>
        <v/>
      </c>
      <c r="D313" s="13">
        <f>(D88-$D$228)/($D$227-$D$228)</f>
        <v/>
      </c>
      <c r="E313" s="13">
        <f>(E88-$E$228)/($E$227-$E$228)</f>
        <v/>
      </c>
      <c r="F313" s="13">
        <f>(F88-$F$228)/($F$227-$F$228)</f>
        <v/>
      </c>
      <c r="G313" s="13">
        <f>(B313*$B$5)+(C313*$C$5)+(D313*$D$5)+(E313*$E$5)+(F313*$F$5)</f>
        <v/>
      </c>
      <c r="H313" s="8">
        <f>RANK(G313,$G$231:$G$451)</f>
        <v/>
      </c>
    </row>
    <row r="314">
      <c r="A314" s="9">
        <f>A89</f>
        <v/>
      </c>
      <c r="B314" s="13">
        <f>(B89-$B$228)/($B$227-$B$228)</f>
        <v/>
      </c>
      <c r="C314" s="13">
        <f>(C89-$C$228)/($C$227-$C$228)</f>
        <v/>
      </c>
      <c r="D314" s="13">
        <f>(D89-$D$228)/($D$227-$D$228)</f>
        <v/>
      </c>
      <c r="E314" s="13">
        <f>(E89-$E$228)/($E$227-$E$228)</f>
        <v/>
      </c>
      <c r="F314" s="13">
        <f>(F89-$F$228)/($F$227-$F$228)</f>
        <v/>
      </c>
      <c r="G314" s="13">
        <f>(B314*$B$5)+(C314*$C$5)+(D314*$D$5)+(E314*$E$5)+(F314*$F$5)</f>
        <v/>
      </c>
      <c r="H314" s="8">
        <f>RANK(G314,$G$231:$G$451)</f>
        <v/>
      </c>
    </row>
    <row r="315">
      <c r="A315" s="9">
        <f>A90</f>
        <v/>
      </c>
      <c r="B315" s="13">
        <f>(B90-$B$228)/($B$227-$B$228)</f>
        <v/>
      </c>
      <c r="C315" s="13">
        <f>(C90-$C$228)/($C$227-$C$228)</f>
        <v/>
      </c>
      <c r="D315" s="13">
        <f>(D90-$D$228)/($D$227-$D$228)</f>
        <v/>
      </c>
      <c r="E315" s="13">
        <f>(E90-$E$228)/($E$227-$E$228)</f>
        <v/>
      </c>
      <c r="F315" s="13">
        <f>(F90-$F$228)/($F$227-$F$228)</f>
        <v/>
      </c>
      <c r="G315" s="13">
        <f>(B315*$B$5)+(C315*$C$5)+(D315*$D$5)+(E315*$E$5)+(F315*$F$5)</f>
        <v/>
      </c>
      <c r="H315" s="8">
        <f>RANK(G315,$G$231:$G$451)</f>
        <v/>
      </c>
    </row>
    <row r="316">
      <c r="A316" s="9">
        <f>A91</f>
        <v/>
      </c>
      <c r="B316" s="13">
        <f>(B91-$B$228)/($B$227-$B$228)</f>
        <v/>
      </c>
      <c r="C316" s="13">
        <f>(C91-$C$228)/($C$227-$C$228)</f>
        <v/>
      </c>
      <c r="D316" s="13">
        <f>(D91-$D$228)/($D$227-$D$228)</f>
        <v/>
      </c>
      <c r="E316" s="13">
        <f>(E91-$E$228)/($E$227-$E$228)</f>
        <v/>
      </c>
      <c r="F316" s="13">
        <f>(F91-$F$228)/($F$227-$F$228)</f>
        <v/>
      </c>
      <c r="G316" s="13">
        <f>(B316*$B$5)+(C316*$C$5)+(D316*$D$5)+(E316*$E$5)+(F316*$F$5)</f>
        <v/>
      </c>
      <c r="H316" s="8">
        <f>RANK(G316,$G$231:$G$451)</f>
        <v/>
      </c>
    </row>
    <row r="317">
      <c r="A317" s="9">
        <f>A92</f>
        <v/>
      </c>
      <c r="B317" s="13">
        <f>(B92-$B$228)/($B$227-$B$228)</f>
        <v/>
      </c>
      <c r="C317" s="13">
        <f>(C92-$C$228)/($C$227-$C$228)</f>
        <v/>
      </c>
      <c r="D317" s="13">
        <f>(D92-$D$228)/($D$227-$D$228)</f>
        <v/>
      </c>
      <c r="E317" s="13">
        <f>(E92-$E$228)/($E$227-$E$228)</f>
        <v/>
      </c>
      <c r="F317" s="13">
        <f>(F92-$F$228)/($F$227-$F$228)</f>
        <v/>
      </c>
      <c r="G317" s="13">
        <f>(B317*$B$5)+(C317*$C$5)+(D317*$D$5)+(E317*$E$5)+(F317*$F$5)</f>
        <v/>
      </c>
      <c r="H317" s="8">
        <f>RANK(G317,$G$231:$G$451)</f>
        <v/>
      </c>
    </row>
    <row r="318">
      <c r="A318" s="9">
        <f>A93</f>
        <v/>
      </c>
      <c r="B318" s="13">
        <f>(B93-$B$228)/($B$227-$B$228)</f>
        <v/>
      </c>
      <c r="C318" s="13">
        <f>(C93-$C$228)/($C$227-$C$228)</f>
        <v/>
      </c>
      <c r="D318" s="13">
        <f>(D93-$D$228)/($D$227-$D$228)</f>
        <v/>
      </c>
      <c r="E318" s="13">
        <f>(E93-$E$228)/($E$227-$E$228)</f>
        <v/>
      </c>
      <c r="F318" s="13">
        <f>(F93-$F$228)/($F$227-$F$228)</f>
        <v/>
      </c>
      <c r="G318" s="13">
        <f>(B318*$B$5)+(C318*$C$5)+(D318*$D$5)+(E318*$E$5)+(F318*$F$5)</f>
        <v/>
      </c>
      <c r="H318" s="8">
        <f>RANK(G318,$G$231:$G$451)</f>
        <v/>
      </c>
    </row>
    <row r="319">
      <c r="A319" s="9">
        <f>A94</f>
        <v/>
      </c>
      <c r="B319" s="13">
        <f>(B94-$B$228)/($B$227-$B$228)</f>
        <v/>
      </c>
      <c r="C319" s="13">
        <f>(C94-$C$228)/($C$227-$C$228)</f>
        <v/>
      </c>
      <c r="D319" s="13">
        <f>(D94-$D$228)/($D$227-$D$228)</f>
        <v/>
      </c>
      <c r="E319" s="13">
        <f>(E94-$E$228)/($E$227-$E$228)</f>
        <v/>
      </c>
      <c r="F319" s="13">
        <f>(F94-$F$228)/($F$227-$F$228)</f>
        <v/>
      </c>
      <c r="G319" s="13">
        <f>(B319*$B$5)+(C319*$C$5)+(D319*$D$5)+(E319*$E$5)+(F319*$F$5)</f>
        <v/>
      </c>
      <c r="H319" s="8">
        <f>RANK(G319,$G$231:$G$451)</f>
        <v/>
      </c>
    </row>
    <row r="320">
      <c r="A320" s="9">
        <f>A95</f>
        <v/>
      </c>
      <c r="B320" s="13">
        <f>(B95-$B$228)/($B$227-$B$228)</f>
        <v/>
      </c>
      <c r="C320" s="13">
        <f>(C95-$C$228)/($C$227-$C$228)</f>
        <v/>
      </c>
      <c r="D320" s="13">
        <f>(D95-$D$228)/($D$227-$D$228)</f>
        <v/>
      </c>
      <c r="E320" s="13">
        <f>(E95-$E$228)/($E$227-$E$228)</f>
        <v/>
      </c>
      <c r="F320" s="13">
        <f>(F95-$F$228)/($F$227-$F$228)</f>
        <v/>
      </c>
      <c r="G320" s="13">
        <f>(B320*$B$5)+(C320*$C$5)+(D320*$D$5)+(E320*$E$5)+(F320*$F$5)</f>
        <v/>
      </c>
      <c r="H320" s="8">
        <f>RANK(G320,$G$231:$G$451)</f>
        <v/>
      </c>
    </row>
    <row r="321">
      <c r="A321" s="9">
        <f>A96</f>
        <v/>
      </c>
      <c r="B321" s="13">
        <f>(B96-$B$228)/($B$227-$B$228)</f>
        <v/>
      </c>
      <c r="C321" s="13">
        <f>(C96-$C$228)/($C$227-$C$228)</f>
        <v/>
      </c>
      <c r="D321" s="13">
        <f>(D96-$D$228)/($D$227-$D$228)</f>
        <v/>
      </c>
      <c r="E321" s="13">
        <f>(E96-$E$228)/($E$227-$E$228)</f>
        <v/>
      </c>
      <c r="F321" s="13">
        <f>(F96-$F$228)/($F$227-$F$228)</f>
        <v/>
      </c>
      <c r="G321" s="13">
        <f>(B321*$B$5)+(C321*$C$5)+(D321*$D$5)+(E321*$E$5)+(F321*$F$5)</f>
        <v/>
      </c>
      <c r="H321" s="8">
        <f>RANK(G321,$G$231:$G$451)</f>
        <v/>
      </c>
    </row>
    <row r="322">
      <c r="A322" s="9">
        <f>A97</f>
        <v/>
      </c>
      <c r="B322" s="13">
        <f>(B97-$B$228)/($B$227-$B$228)</f>
        <v/>
      </c>
      <c r="C322" s="13">
        <f>(C97-$C$228)/($C$227-$C$228)</f>
        <v/>
      </c>
      <c r="D322" s="13">
        <f>(D97-$D$228)/($D$227-$D$228)</f>
        <v/>
      </c>
      <c r="E322" s="13">
        <f>(E97-$E$228)/($E$227-$E$228)</f>
        <v/>
      </c>
      <c r="F322" s="13">
        <f>(F97-$F$228)/($F$227-$F$228)</f>
        <v/>
      </c>
      <c r="G322" s="13">
        <f>(B322*$B$5)+(C322*$C$5)+(D322*$D$5)+(E322*$E$5)+(F322*$F$5)</f>
        <v/>
      </c>
      <c r="H322" s="8">
        <f>RANK(G322,$G$231:$G$451)</f>
        <v/>
      </c>
    </row>
    <row r="323">
      <c r="A323" s="9">
        <f>A98</f>
        <v/>
      </c>
      <c r="B323" s="13">
        <f>(B98-$B$228)/($B$227-$B$228)</f>
        <v/>
      </c>
      <c r="C323" s="13">
        <f>(C98-$C$228)/($C$227-$C$228)</f>
        <v/>
      </c>
      <c r="D323" s="13">
        <f>(D98-$D$228)/($D$227-$D$228)</f>
        <v/>
      </c>
      <c r="E323" s="13">
        <f>(E98-$E$228)/($E$227-$E$228)</f>
        <v/>
      </c>
      <c r="F323" s="13">
        <f>(F98-$F$228)/($F$227-$F$228)</f>
        <v/>
      </c>
      <c r="G323" s="13">
        <f>(B323*$B$5)+(C323*$C$5)+(D323*$D$5)+(E323*$E$5)+(F323*$F$5)</f>
        <v/>
      </c>
      <c r="H323" s="8">
        <f>RANK(G323,$G$231:$G$451)</f>
        <v/>
      </c>
    </row>
    <row r="324">
      <c r="A324" s="9">
        <f>A99</f>
        <v/>
      </c>
      <c r="B324" s="13">
        <f>(B99-$B$228)/($B$227-$B$228)</f>
        <v/>
      </c>
      <c r="C324" s="13">
        <f>(C99-$C$228)/($C$227-$C$228)</f>
        <v/>
      </c>
      <c r="D324" s="13">
        <f>(D99-$D$228)/($D$227-$D$228)</f>
        <v/>
      </c>
      <c r="E324" s="13">
        <f>(E99-$E$228)/($E$227-$E$228)</f>
        <v/>
      </c>
      <c r="F324" s="13">
        <f>(F99-$F$228)/($F$227-$F$228)</f>
        <v/>
      </c>
      <c r="G324" s="13">
        <f>(B324*$B$5)+(C324*$C$5)+(D324*$D$5)+(E324*$E$5)+(F324*$F$5)</f>
        <v/>
      </c>
      <c r="H324" s="8">
        <f>RANK(G324,$G$231:$G$451)</f>
        <v/>
      </c>
    </row>
    <row r="325">
      <c r="A325" s="9">
        <f>A100</f>
        <v/>
      </c>
      <c r="B325" s="13">
        <f>(B100-$B$228)/($B$227-$B$228)</f>
        <v/>
      </c>
      <c r="C325" s="13">
        <f>(C100-$C$228)/($C$227-$C$228)</f>
        <v/>
      </c>
      <c r="D325" s="13">
        <f>(D100-$D$228)/($D$227-$D$228)</f>
        <v/>
      </c>
      <c r="E325" s="13">
        <f>(E100-$E$228)/($E$227-$E$228)</f>
        <v/>
      </c>
      <c r="F325" s="13">
        <f>(F100-$F$228)/($F$227-$F$228)</f>
        <v/>
      </c>
      <c r="G325" s="13">
        <f>(B325*$B$5)+(C325*$C$5)+(D325*$D$5)+(E325*$E$5)+(F325*$F$5)</f>
        <v/>
      </c>
      <c r="H325" s="8">
        <f>RANK(G325,$G$231:$G$451)</f>
        <v/>
      </c>
    </row>
    <row r="326">
      <c r="A326" s="9">
        <f>A101</f>
        <v/>
      </c>
      <c r="B326" s="13">
        <f>(B101-$B$228)/($B$227-$B$228)</f>
        <v/>
      </c>
      <c r="C326" s="13">
        <f>(C101-$C$228)/($C$227-$C$228)</f>
        <v/>
      </c>
      <c r="D326" s="13">
        <f>(D101-$D$228)/($D$227-$D$228)</f>
        <v/>
      </c>
      <c r="E326" s="13">
        <f>(E101-$E$228)/($E$227-$E$228)</f>
        <v/>
      </c>
      <c r="F326" s="13">
        <f>(F101-$F$228)/($F$227-$F$228)</f>
        <v/>
      </c>
      <c r="G326" s="13">
        <f>(B326*$B$5)+(C326*$C$5)+(D326*$D$5)+(E326*$E$5)+(F326*$F$5)</f>
        <v/>
      </c>
      <c r="H326" s="8">
        <f>RANK(G326,$G$231:$G$451)</f>
        <v/>
      </c>
    </row>
    <row r="327">
      <c r="A327" s="9">
        <f>A102</f>
        <v/>
      </c>
      <c r="B327" s="13">
        <f>(B102-$B$228)/($B$227-$B$228)</f>
        <v/>
      </c>
      <c r="C327" s="13">
        <f>(C102-$C$228)/($C$227-$C$228)</f>
        <v/>
      </c>
      <c r="D327" s="13">
        <f>(D102-$D$228)/($D$227-$D$228)</f>
        <v/>
      </c>
      <c r="E327" s="13">
        <f>(E102-$E$228)/($E$227-$E$228)</f>
        <v/>
      </c>
      <c r="F327" s="13">
        <f>(F102-$F$228)/($F$227-$F$228)</f>
        <v/>
      </c>
      <c r="G327" s="13">
        <f>(B327*$B$5)+(C327*$C$5)+(D327*$D$5)+(E327*$E$5)+(F327*$F$5)</f>
        <v/>
      </c>
      <c r="H327" s="8">
        <f>RANK(G327,$G$231:$G$451)</f>
        <v/>
      </c>
    </row>
    <row r="328">
      <c r="A328" s="9">
        <f>A103</f>
        <v/>
      </c>
      <c r="B328" s="13">
        <f>(B103-$B$228)/($B$227-$B$228)</f>
        <v/>
      </c>
      <c r="C328" s="13">
        <f>(C103-$C$228)/($C$227-$C$228)</f>
        <v/>
      </c>
      <c r="D328" s="13">
        <f>(D103-$D$228)/($D$227-$D$228)</f>
        <v/>
      </c>
      <c r="E328" s="13">
        <f>(E103-$E$228)/($E$227-$E$228)</f>
        <v/>
      </c>
      <c r="F328" s="13">
        <f>(F103-$F$228)/($F$227-$F$228)</f>
        <v/>
      </c>
      <c r="G328" s="13">
        <f>(B328*$B$5)+(C328*$C$5)+(D328*$D$5)+(E328*$E$5)+(F328*$F$5)</f>
        <v/>
      </c>
      <c r="H328" s="8">
        <f>RANK(G328,$G$231:$G$451)</f>
        <v/>
      </c>
    </row>
    <row r="329">
      <c r="A329" s="9">
        <f>A104</f>
        <v/>
      </c>
      <c r="B329" s="13">
        <f>(B104-$B$228)/($B$227-$B$228)</f>
        <v/>
      </c>
      <c r="C329" s="13">
        <f>(C104-$C$228)/($C$227-$C$228)</f>
        <v/>
      </c>
      <c r="D329" s="13">
        <f>(D104-$D$228)/($D$227-$D$228)</f>
        <v/>
      </c>
      <c r="E329" s="13">
        <f>(E104-$E$228)/($E$227-$E$228)</f>
        <v/>
      </c>
      <c r="F329" s="13">
        <f>(F104-$F$228)/($F$227-$F$228)</f>
        <v/>
      </c>
      <c r="G329" s="13">
        <f>(B329*$B$5)+(C329*$C$5)+(D329*$D$5)+(E329*$E$5)+(F329*$F$5)</f>
        <v/>
      </c>
      <c r="H329" s="8">
        <f>RANK(G329,$G$231:$G$451)</f>
        <v/>
      </c>
    </row>
    <row r="330">
      <c r="A330" s="9">
        <f>A105</f>
        <v/>
      </c>
      <c r="B330" s="13">
        <f>(B105-$B$228)/($B$227-$B$228)</f>
        <v/>
      </c>
      <c r="C330" s="13">
        <f>(C105-$C$228)/($C$227-$C$228)</f>
        <v/>
      </c>
      <c r="D330" s="13">
        <f>(D105-$D$228)/($D$227-$D$228)</f>
        <v/>
      </c>
      <c r="E330" s="13">
        <f>(E105-$E$228)/($E$227-$E$228)</f>
        <v/>
      </c>
      <c r="F330" s="13">
        <f>(F105-$F$228)/($F$227-$F$228)</f>
        <v/>
      </c>
      <c r="G330" s="13">
        <f>(B330*$B$5)+(C330*$C$5)+(D330*$D$5)+(E330*$E$5)+(F330*$F$5)</f>
        <v/>
      </c>
      <c r="H330" s="8">
        <f>RANK(G330,$G$231:$G$451)</f>
        <v/>
      </c>
    </row>
    <row r="331">
      <c r="A331" s="9">
        <f>A106</f>
        <v/>
      </c>
      <c r="B331" s="13">
        <f>(B106-$B$228)/($B$227-$B$228)</f>
        <v/>
      </c>
      <c r="C331" s="13">
        <f>(C106-$C$228)/($C$227-$C$228)</f>
        <v/>
      </c>
      <c r="D331" s="13">
        <f>(D106-$D$228)/($D$227-$D$228)</f>
        <v/>
      </c>
      <c r="E331" s="13">
        <f>(E106-$E$228)/($E$227-$E$228)</f>
        <v/>
      </c>
      <c r="F331" s="13">
        <f>(F106-$F$228)/($F$227-$F$228)</f>
        <v/>
      </c>
      <c r="G331" s="13">
        <f>(B331*$B$5)+(C331*$C$5)+(D331*$D$5)+(E331*$E$5)+(F331*$F$5)</f>
        <v/>
      </c>
      <c r="H331" s="8">
        <f>RANK(G331,$G$231:$G$451)</f>
        <v/>
      </c>
    </row>
    <row r="332">
      <c r="A332" s="9">
        <f>A107</f>
        <v/>
      </c>
      <c r="B332" s="13">
        <f>(B107-$B$228)/($B$227-$B$228)</f>
        <v/>
      </c>
      <c r="C332" s="13">
        <f>(C107-$C$228)/($C$227-$C$228)</f>
        <v/>
      </c>
      <c r="D332" s="13">
        <f>(D107-$D$228)/($D$227-$D$228)</f>
        <v/>
      </c>
      <c r="E332" s="13">
        <f>(E107-$E$228)/($E$227-$E$228)</f>
        <v/>
      </c>
      <c r="F332" s="13">
        <f>(F107-$F$228)/($F$227-$F$228)</f>
        <v/>
      </c>
      <c r="G332" s="13">
        <f>(B332*$B$5)+(C332*$C$5)+(D332*$D$5)+(E332*$E$5)+(F332*$F$5)</f>
        <v/>
      </c>
      <c r="H332" s="8">
        <f>RANK(G332,$G$231:$G$451)</f>
        <v/>
      </c>
    </row>
    <row r="333">
      <c r="A333" s="9">
        <f>A108</f>
        <v/>
      </c>
      <c r="B333" s="13">
        <f>(B108-$B$228)/($B$227-$B$228)</f>
        <v/>
      </c>
      <c r="C333" s="13">
        <f>(C108-$C$228)/($C$227-$C$228)</f>
        <v/>
      </c>
      <c r="D333" s="13">
        <f>(D108-$D$228)/($D$227-$D$228)</f>
        <v/>
      </c>
      <c r="E333" s="13">
        <f>(E108-$E$228)/($E$227-$E$228)</f>
        <v/>
      </c>
      <c r="F333" s="13">
        <f>(F108-$F$228)/($F$227-$F$228)</f>
        <v/>
      </c>
      <c r="G333" s="13">
        <f>(B333*$B$5)+(C333*$C$5)+(D333*$D$5)+(E333*$E$5)+(F333*$F$5)</f>
        <v/>
      </c>
      <c r="H333" s="8">
        <f>RANK(G333,$G$231:$G$451)</f>
        <v/>
      </c>
    </row>
    <row r="334">
      <c r="A334" s="9">
        <f>A109</f>
        <v/>
      </c>
      <c r="B334" s="13">
        <f>(B109-$B$228)/($B$227-$B$228)</f>
        <v/>
      </c>
      <c r="C334" s="13">
        <f>(C109-$C$228)/($C$227-$C$228)</f>
        <v/>
      </c>
      <c r="D334" s="13">
        <f>(D109-$D$228)/($D$227-$D$228)</f>
        <v/>
      </c>
      <c r="E334" s="13">
        <f>(E109-$E$228)/($E$227-$E$228)</f>
        <v/>
      </c>
      <c r="F334" s="13">
        <f>(F109-$F$228)/($F$227-$F$228)</f>
        <v/>
      </c>
      <c r="G334" s="13">
        <f>(B334*$B$5)+(C334*$C$5)+(D334*$D$5)+(E334*$E$5)+(F334*$F$5)</f>
        <v/>
      </c>
      <c r="H334" s="8">
        <f>RANK(G334,$G$231:$G$451)</f>
        <v/>
      </c>
    </row>
    <row r="335">
      <c r="A335" s="9">
        <f>A110</f>
        <v/>
      </c>
      <c r="B335" s="13">
        <f>(B110-$B$228)/($B$227-$B$228)</f>
        <v/>
      </c>
      <c r="C335" s="13">
        <f>(C110-$C$228)/($C$227-$C$228)</f>
        <v/>
      </c>
      <c r="D335" s="13">
        <f>(D110-$D$228)/($D$227-$D$228)</f>
        <v/>
      </c>
      <c r="E335" s="13">
        <f>(E110-$E$228)/($E$227-$E$228)</f>
        <v/>
      </c>
      <c r="F335" s="13">
        <f>(F110-$F$228)/($F$227-$F$228)</f>
        <v/>
      </c>
      <c r="G335" s="13">
        <f>(B335*$B$5)+(C335*$C$5)+(D335*$D$5)+(E335*$E$5)+(F335*$F$5)</f>
        <v/>
      </c>
      <c r="H335" s="8">
        <f>RANK(G335,$G$231:$G$451)</f>
        <v/>
      </c>
    </row>
    <row r="336">
      <c r="A336" s="9">
        <f>A111</f>
        <v/>
      </c>
      <c r="B336" s="13">
        <f>(B111-$B$228)/($B$227-$B$228)</f>
        <v/>
      </c>
      <c r="C336" s="13">
        <f>(C111-$C$228)/($C$227-$C$228)</f>
        <v/>
      </c>
      <c r="D336" s="13">
        <f>(D111-$D$228)/($D$227-$D$228)</f>
        <v/>
      </c>
      <c r="E336" s="13">
        <f>(E111-$E$228)/($E$227-$E$228)</f>
        <v/>
      </c>
      <c r="F336" s="13">
        <f>(F111-$F$228)/($F$227-$F$228)</f>
        <v/>
      </c>
      <c r="G336" s="13">
        <f>(B336*$B$5)+(C336*$C$5)+(D336*$D$5)+(E336*$E$5)+(F336*$F$5)</f>
        <v/>
      </c>
      <c r="H336" s="8">
        <f>RANK(G336,$G$231:$G$451)</f>
        <v/>
      </c>
    </row>
    <row r="337">
      <c r="A337" s="9">
        <f>A112</f>
        <v/>
      </c>
      <c r="B337" s="13">
        <f>(B112-$B$228)/($B$227-$B$228)</f>
        <v/>
      </c>
      <c r="C337" s="13">
        <f>(C112-$C$228)/($C$227-$C$228)</f>
        <v/>
      </c>
      <c r="D337" s="13">
        <f>(D112-$D$228)/($D$227-$D$228)</f>
        <v/>
      </c>
      <c r="E337" s="13">
        <f>(E112-$E$228)/($E$227-$E$228)</f>
        <v/>
      </c>
      <c r="F337" s="13">
        <f>(F112-$F$228)/($F$227-$F$228)</f>
        <v/>
      </c>
      <c r="G337" s="13">
        <f>(B337*$B$5)+(C337*$C$5)+(D337*$D$5)+(E337*$E$5)+(F337*$F$5)</f>
        <v/>
      </c>
      <c r="H337" s="8">
        <f>RANK(G337,$G$231:$G$451)</f>
        <v/>
      </c>
    </row>
    <row r="338">
      <c r="A338" s="9">
        <f>A113</f>
        <v/>
      </c>
      <c r="B338" s="13">
        <f>(B113-$B$228)/($B$227-$B$228)</f>
        <v/>
      </c>
      <c r="C338" s="13">
        <f>(C113-$C$228)/($C$227-$C$228)</f>
        <v/>
      </c>
      <c r="D338" s="13">
        <f>(D113-$D$228)/($D$227-$D$228)</f>
        <v/>
      </c>
      <c r="E338" s="13">
        <f>(E113-$E$228)/($E$227-$E$228)</f>
        <v/>
      </c>
      <c r="F338" s="13">
        <f>(F113-$F$228)/($F$227-$F$228)</f>
        <v/>
      </c>
      <c r="G338" s="13">
        <f>(B338*$B$5)+(C338*$C$5)+(D338*$D$5)+(E338*$E$5)+(F338*$F$5)</f>
        <v/>
      </c>
      <c r="H338" s="8">
        <f>RANK(G338,$G$231:$G$451)</f>
        <v/>
      </c>
    </row>
    <row r="339">
      <c r="A339" s="9">
        <f>A114</f>
        <v/>
      </c>
      <c r="B339" s="13">
        <f>(B114-$B$228)/($B$227-$B$228)</f>
        <v/>
      </c>
      <c r="C339" s="13">
        <f>(C114-$C$228)/($C$227-$C$228)</f>
        <v/>
      </c>
      <c r="D339" s="13">
        <f>(D114-$D$228)/($D$227-$D$228)</f>
        <v/>
      </c>
      <c r="E339" s="13">
        <f>(E114-$E$228)/($E$227-$E$228)</f>
        <v/>
      </c>
      <c r="F339" s="13">
        <f>(F114-$F$228)/($F$227-$F$228)</f>
        <v/>
      </c>
      <c r="G339" s="13">
        <f>(B339*$B$5)+(C339*$C$5)+(D339*$D$5)+(E339*$E$5)+(F339*$F$5)</f>
        <v/>
      </c>
      <c r="H339" s="8">
        <f>RANK(G339,$G$231:$G$451)</f>
        <v/>
      </c>
    </row>
    <row r="340">
      <c r="A340" s="9">
        <f>A115</f>
        <v/>
      </c>
      <c r="B340" s="13">
        <f>(B115-$B$228)/($B$227-$B$228)</f>
        <v/>
      </c>
      <c r="C340" s="13">
        <f>(C115-$C$228)/($C$227-$C$228)</f>
        <v/>
      </c>
      <c r="D340" s="13">
        <f>(D115-$D$228)/($D$227-$D$228)</f>
        <v/>
      </c>
      <c r="E340" s="13">
        <f>(E115-$E$228)/($E$227-$E$228)</f>
        <v/>
      </c>
      <c r="F340" s="13">
        <f>(F115-$F$228)/($F$227-$F$228)</f>
        <v/>
      </c>
      <c r="G340" s="13">
        <f>(B340*$B$5)+(C340*$C$5)+(D340*$D$5)+(E340*$E$5)+(F340*$F$5)</f>
        <v/>
      </c>
      <c r="H340" s="8">
        <f>RANK(G340,$G$231:$G$451)</f>
        <v/>
      </c>
    </row>
    <row r="341">
      <c r="A341" s="9">
        <f>A116</f>
        <v/>
      </c>
      <c r="B341" s="13">
        <f>(B116-$B$228)/($B$227-$B$228)</f>
        <v/>
      </c>
      <c r="C341" s="13">
        <f>(C116-$C$228)/($C$227-$C$228)</f>
        <v/>
      </c>
      <c r="D341" s="13">
        <f>(D116-$D$228)/($D$227-$D$228)</f>
        <v/>
      </c>
      <c r="E341" s="13">
        <f>(E116-$E$228)/($E$227-$E$228)</f>
        <v/>
      </c>
      <c r="F341" s="13">
        <f>(F116-$F$228)/($F$227-$F$228)</f>
        <v/>
      </c>
      <c r="G341" s="13">
        <f>(B341*$B$5)+(C341*$C$5)+(D341*$D$5)+(E341*$E$5)+(F341*$F$5)</f>
        <v/>
      </c>
      <c r="H341" s="8">
        <f>RANK(G341,$G$231:$G$451)</f>
        <v/>
      </c>
    </row>
    <row r="342">
      <c r="A342" s="9">
        <f>A117</f>
        <v/>
      </c>
      <c r="B342" s="13">
        <f>(B117-$B$228)/($B$227-$B$228)</f>
        <v/>
      </c>
      <c r="C342" s="13">
        <f>(C117-$C$228)/($C$227-$C$228)</f>
        <v/>
      </c>
      <c r="D342" s="13">
        <f>(D117-$D$228)/($D$227-$D$228)</f>
        <v/>
      </c>
      <c r="E342" s="13">
        <f>(E117-$E$228)/($E$227-$E$228)</f>
        <v/>
      </c>
      <c r="F342" s="13">
        <f>(F117-$F$228)/($F$227-$F$228)</f>
        <v/>
      </c>
      <c r="G342" s="13">
        <f>(B342*$B$5)+(C342*$C$5)+(D342*$D$5)+(E342*$E$5)+(F342*$F$5)</f>
        <v/>
      </c>
      <c r="H342" s="8">
        <f>RANK(G342,$G$231:$G$451)</f>
        <v/>
      </c>
    </row>
    <row r="343">
      <c r="A343" s="9">
        <f>A118</f>
        <v/>
      </c>
      <c r="B343" s="13">
        <f>(B118-$B$228)/($B$227-$B$228)</f>
        <v/>
      </c>
      <c r="C343" s="13">
        <f>(C118-$C$228)/($C$227-$C$228)</f>
        <v/>
      </c>
      <c r="D343" s="13">
        <f>(D118-$D$228)/($D$227-$D$228)</f>
        <v/>
      </c>
      <c r="E343" s="13">
        <f>(E118-$E$228)/($E$227-$E$228)</f>
        <v/>
      </c>
      <c r="F343" s="13">
        <f>(F118-$F$228)/($F$227-$F$228)</f>
        <v/>
      </c>
      <c r="G343" s="13">
        <f>(B343*$B$5)+(C343*$C$5)+(D343*$D$5)+(E343*$E$5)+(F343*$F$5)</f>
        <v/>
      </c>
      <c r="H343" s="8">
        <f>RANK(G343,$G$231:$G$451)</f>
        <v/>
      </c>
    </row>
    <row r="344">
      <c r="A344" s="9">
        <f>A119</f>
        <v/>
      </c>
      <c r="B344" s="13">
        <f>(B119-$B$228)/($B$227-$B$228)</f>
        <v/>
      </c>
      <c r="C344" s="13">
        <f>(C119-$C$228)/($C$227-$C$228)</f>
        <v/>
      </c>
      <c r="D344" s="13">
        <f>(D119-$D$228)/($D$227-$D$228)</f>
        <v/>
      </c>
      <c r="E344" s="13">
        <f>(E119-$E$228)/($E$227-$E$228)</f>
        <v/>
      </c>
      <c r="F344" s="13">
        <f>(F119-$F$228)/($F$227-$F$228)</f>
        <v/>
      </c>
      <c r="G344" s="13">
        <f>(B344*$B$5)+(C344*$C$5)+(D344*$D$5)+(E344*$E$5)+(F344*$F$5)</f>
        <v/>
      </c>
      <c r="H344" s="8">
        <f>RANK(G344,$G$231:$G$451)</f>
        <v/>
      </c>
    </row>
    <row r="345">
      <c r="A345" s="9">
        <f>A120</f>
        <v/>
      </c>
      <c r="B345" s="13">
        <f>(B120-$B$228)/($B$227-$B$228)</f>
        <v/>
      </c>
      <c r="C345" s="13">
        <f>(C120-$C$228)/($C$227-$C$228)</f>
        <v/>
      </c>
      <c r="D345" s="13">
        <f>(D120-$D$228)/($D$227-$D$228)</f>
        <v/>
      </c>
      <c r="E345" s="13">
        <f>(E120-$E$228)/($E$227-$E$228)</f>
        <v/>
      </c>
      <c r="F345" s="13">
        <f>(F120-$F$228)/($F$227-$F$228)</f>
        <v/>
      </c>
      <c r="G345" s="13">
        <f>(B345*$B$5)+(C345*$C$5)+(D345*$D$5)+(E345*$E$5)+(F345*$F$5)</f>
        <v/>
      </c>
      <c r="H345" s="8">
        <f>RANK(G345,$G$231:$G$451)</f>
        <v/>
      </c>
    </row>
    <row r="346">
      <c r="A346" s="9">
        <f>A121</f>
        <v/>
      </c>
      <c r="B346" s="13">
        <f>(B121-$B$228)/($B$227-$B$228)</f>
        <v/>
      </c>
      <c r="C346" s="13">
        <f>(C121-$C$228)/($C$227-$C$228)</f>
        <v/>
      </c>
      <c r="D346" s="13">
        <f>(D121-$D$228)/($D$227-$D$228)</f>
        <v/>
      </c>
      <c r="E346" s="13">
        <f>(E121-$E$228)/($E$227-$E$228)</f>
        <v/>
      </c>
      <c r="F346" s="13">
        <f>(F121-$F$228)/($F$227-$F$228)</f>
        <v/>
      </c>
      <c r="G346" s="13">
        <f>(B346*$B$5)+(C346*$C$5)+(D346*$D$5)+(E346*$E$5)+(F346*$F$5)</f>
        <v/>
      </c>
      <c r="H346" s="8">
        <f>RANK(G346,$G$231:$G$451)</f>
        <v/>
      </c>
    </row>
    <row r="347">
      <c r="A347" s="9">
        <f>A122</f>
        <v/>
      </c>
      <c r="B347" s="13">
        <f>(B122-$B$228)/($B$227-$B$228)</f>
        <v/>
      </c>
      <c r="C347" s="13">
        <f>(C122-$C$228)/($C$227-$C$228)</f>
        <v/>
      </c>
      <c r="D347" s="13">
        <f>(D122-$D$228)/($D$227-$D$228)</f>
        <v/>
      </c>
      <c r="E347" s="13">
        <f>(E122-$E$228)/($E$227-$E$228)</f>
        <v/>
      </c>
      <c r="F347" s="13">
        <f>(F122-$F$228)/($F$227-$F$228)</f>
        <v/>
      </c>
      <c r="G347" s="13">
        <f>(B347*$B$5)+(C347*$C$5)+(D347*$D$5)+(E347*$E$5)+(F347*$F$5)</f>
        <v/>
      </c>
      <c r="H347" s="8">
        <f>RANK(G347,$G$231:$G$451)</f>
        <v/>
      </c>
    </row>
    <row r="348">
      <c r="A348" s="9">
        <f>A123</f>
        <v/>
      </c>
      <c r="B348" s="13">
        <f>(B123-$B$228)/($B$227-$B$228)</f>
        <v/>
      </c>
      <c r="C348" s="13">
        <f>(C123-$C$228)/($C$227-$C$228)</f>
        <v/>
      </c>
      <c r="D348" s="13">
        <f>(D123-$D$228)/($D$227-$D$228)</f>
        <v/>
      </c>
      <c r="E348" s="13">
        <f>(E123-$E$228)/($E$227-$E$228)</f>
        <v/>
      </c>
      <c r="F348" s="13">
        <f>(F123-$F$228)/($F$227-$F$228)</f>
        <v/>
      </c>
      <c r="G348" s="13">
        <f>(B348*$B$5)+(C348*$C$5)+(D348*$D$5)+(E348*$E$5)+(F348*$F$5)</f>
        <v/>
      </c>
      <c r="H348" s="8">
        <f>RANK(G348,$G$231:$G$451)</f>
        <v/>
      </c>
    </row>
    <row r="349">
      <c r="A349" s="9">
        <f>A124</f>
        <v/>
      </c>
      <c r="B349" s="13">
        <f>(B124-$B$228)/($B$227-$B$228)</f>
        <v/>
      </c>
      <c r="C349" s="13">
        <f>(C124-$C$228)/($C$227-$C$228)</f>
        <v/>
      </c>
      <c r="D349" s="13">
        <f>(D124-$D$228)/($D$227-$D$228)</f>
        <v/>
      </c>
      <c r="E349" s="13">
        <f>(E124-$E$228)/($E$227-$E$228)</f>
        <v/>
      </c>
      <c r="F349" s="13">
        <f>(F124-$F$228)/($F$227-$F$228)</f>
        <v/>
      </c>
      <c r="G349" s="13">
        <f>(B349*$B$5)+(C349*$C$5)+(D349*$D$5)+(E349*$E$5)+(F349*$F$5)</f>
        <v/>
      </c>
      <c r="H349" s="8">
        <f>RANK(G349,$G$231:$G$451)</f>
        <v/>
      </c>
    </row>
    <row r="350">
      <c r="A350" s="9">
        <f>A125</f>
        <v/>
      </c>
      <c r="B350" s="13">
        <f>(B125-$B$228)/($B$227-$B$228)</f>
        <v/>
      </c>
      <c r="C350" s="13">
        <f>(C125-$C$228)/($C$227-$C$228)</f>
        <v/>
      </c>
      <c r="D350" s="13">
        <f>(D125-$D$228)/($D$227-$D$228)</f>
        <v/>
      </c>
      <c r="E350" s="13">
        <f>(E125-$E$228)/($E$227-$E$228)</f>
        <v/>
      </c>
      <c r="F350" s="13">
        <f>(F125-$F$228)/($F$227-$F$228)</f>
        <v/>
      </c>
      <c r="G350" s="13">
        <f>(B350*$B$5)+(C350*$C$5)+(D350*$D$5)+(E350*$E$5)+(F350*$F$5)</f>
        <v/>
      </c>
      <c r="H350" s="8">
        <f>RANK(G350,$G$231:$G$451)</f>
        <v/>
      </c>
    </row>
    <row r="351">
      <c r="A351" s="9">
        <f>A126</f>
        <v/>
      </c>
      <c r="B351" s="13">
        <f>(B126-$B$228)/($B$227-$B$228)</f>
        <v/>
      </c>
      <c r="C351" s="13">
        <f>(C126-$C$228)/($C$227-$C$228)</f>
        <v/>
      </c>
      <c r="D351" s="13">
        <f>(D126-$D$228)/($D$227-$D$228)</f>
        <v/>
      </c>
      <c r="E351" s="13">
        <f>(E126-$E$228)/($E$227-$E$228)</f>
        <v/>
      </c>
      <c r="F351" s="13">
        <f>(F126-$F$228)/($F$227-$F$228)</f>
        <v/>
      </c>
      <c r="G351" s="13">
        <f>(B351*$B$5)+(C351*$C$5)+(D351*$D$5)+(E351*$E$5)+(F351*$F$5)</f>
        <v/>
      </c>
      <c r="H351" s="8">
        <f>RANK(G351,$G$231:$G$451)</f>
        <v/>
      </c>
    </row>
    <row r="352">
      <c r="A352" s="9">
        <f>A127</f>
        <v/>
      </c>
      <c r="B352" s="13">
        <f>(B127-$B$228)/($B$227-$B$228)</f>
        <v/>
      </c>
      <c r="C352" s="13">
        <f>(C127-$C$228)/($C$227-$C$228)</f>
        <v/>
      </c>
      <c r="D352" s="13">
        <f>(D127-$D$228)/($D$227-$D$228)</f>
        <v/>
      </c>
      <c r="E352" s="13">
        <f>(E127-$E$228)/($E$227-$E$228)</f>
        <v/>
      </c>
      <c r="F352" s="13">
        <f>(F127-$F$228)/($F$227-$F$228)</f>
        <v/>
      </c>
      <c r="G352" s="13">
        <f>(B352*$B$5)+(C352*$C$5)+(D352*$D$5)+(E352*$E$5)+(F352*$F$5)</f>
        <v/>
      </c>
      <c r="H352" s="8">
        <f>RANK(G352,$G$231:$G$451)</f>
        <v/>
      </c>
    </row>
    <row r="353">
      <c r="A353" s="9">
        <f>A128</f>
        <v/>
      </c>
      <c r="B353" s="13">
        <f>(B128-$B$228)/($B$227-$B$228)</f>
        <v/>
      </c>
      <c r="C353" s="13">
        <f>(C128-$C$228)/($C$227-$C$228)</f>
        <v/>
      </c>
      <c r="D353" s="13">
        <f>(D128-$D$228)/($D$227-$D$228)</f>
        <v/>
      </c>
      <c r="E353" s="13">
        <f>(E128-$E$228)/($E$227-$E$228)</f>
        <v/>
      </c>
      <c r="F353" s="13">
        <f>(F128-$F$228)/($F$227-$F$228)</f>
        <v/>
      </c>
      <c r="G353" s="13">
        <f>(B353*$B$5)+(C353*$C$5)+(D353*$D$5)+(E353*$E$5)+(F353*$F$5)</f>
        <v/>
      </c>
      <c r="H353" s="8">
        <f>RANK(G353,$G$231:$G$451)</f>
        <v/>
      </c>
    </row>
    <row r="354">
      <c r="A354" s="9">
        <f>A129</f>
        <v/>
      </c>
      <c r="B354" s="13">
        <f>(B129-$B$228)/($B$227-$B$228)</f>
        <v/>
      </c>
      <c r="C354" s="13">
        <f>(C129-$C$228)/($C$227-$C$228)</f>
        <v/>
      </c>
      <c r="D354" s="13">
        <f>(D129-$D$228)/($D$227-$D$228)</f>
        <v/>
      </c>
      <c r="E354" s="13">
        <f>(E129-$E$228)/($E$227-$E$228)</f>
        <v/>
      </c>
      <c r="F354" s="13">
        <f>(F129-$F$228)/($F$227-$F$228)</f>
        <v/>
      </c>
      <c r="G354" s="13">
        <f>(B354*$B$5)+(C354*$C$5)+(D354*$D$5)+(E354*$E$5)+(F354*$F$5)</f>
        <v/>
      </c>
      <c r="H354" s="8">
        <f>RANK(G354,$G$231:$G$451)</f>
        <v/>
      </c>
    </row>
    <row r="355">
      <c r="A355" s="9">
        <f>A130</f>
        <v/>
      </c>
      <c r="B355" s="13">
        <f>(B130-$B$228)/($B$227-$B$228)</f>
        <v/>
      </c>
      <c r="C355" s="13">
        <f>(C130-$C$228)/($C$227-$C$228)</f>
        <v/>
      </c>
      <c r="D355" s="13">
        <f>(D130-$D$228)/($D$227-$D$228)</f>
        <v/>
      </c>
      <c r="E355" s="13">
        <f>(E130-$E$228)/($E$227-$E$228)</f>
        <v/>
      </c>
      <c r="F355" s="13">
        <f>(F130-$F$228)/($F$227-$F$228)</f>
        <v/>
      </c>
      <c r="G355" s="13">
        <f>(B355*$B$5)+(C355*$C$5)+(D355*$D$5)+(E355*$E$5)+(F355*$F$5)</f>
        <v/>
      </c>
      <c r="H355" s="8">
        <f>RANK(G355,$G$231:$G$451)</f>
        <v/>
      </c>
    </row>
    <row r="356">
      <c r="A356" s="9">
        <f>A131</f>
        <v/>
      </c>
      <c r="B356" s="13">
        <f>(B131-$B$228)/($B$227-$B$228)</f>
        <v/>
      </c>
      <c r="C356" s="13">
        <f>(C131-$C$228)/($C$227-$C$228)</f>
        <v/>
      </c>
      <c r="D356" s="13">
        <f>(D131-$D$228)/($D$227-$D$228)</f>
        <v/>
      </c>
      <c r="E356" s="13">
        <f>(E131-$E$228)/($E$227-$E$228)</f>
        <v/>
      </c>
      <c r="F356" s="13">
        <f>(F131-$F$228)/($F$227-$F$228)</f>
        <v/>
      </c>
      <c r="G356" s="13">
        <f>(B356*$B$5)+(C356*$C$5)+(D356*$D$5)+(E356*$E$5)+(F356*$F$5)</f>
        <v/>
      </c>
      <c r="H356" s="8">
        <f>RANK(G356,$G$231:$G$451)</f>
        <v/>
      </c>
    </row>
    <row r="357">
      <c r="A357" s="9">
        <f>A132</f>
        <v/>
      </c>
      <c r="B357" s="13">
        <f>(B132-$B$228)/($B$227-$B$228)</f>
        <v/>
      </c>
      <c r="C357" s="13">
        <f>(C132-$C$228)/($C$227-$C$228)</f>
        <v/>
      </c>
      <c r="D357" s="13">
        <f>(D132-$D$228)/($D$227-$D$228)</f>
        <v/>
      </c>
      <c r="E357" s="13">
        <f>(E132-$E$228)/($E$227-$E$228)</f>
        <v/>
      </c>
      <c r="F357" s="13">
        <f>(F132-$F$228)/($F$227-$F$228)</f>
        <v/>
      </c>
      <c r="G357" s="13">
        <f>(B357*$B$5)+(C357*$C$5)+(D357*$D$5)+(E357*$E$5)+(F357*$F$5)</f>
        <v/>
      </c>
      <c r="H357" s="8">
        <f>RANK(G357,$G$231:$G$451)</f>
        <v/>
      </c>
    </row>
    <row r="358">
      <c r="A358" s="9">
        <f>A133</f>
        <v/>
      </c>
      <c r="B358" s="13">
        <f>(B133-$B$228)/($B$227-$B$228)</f>
        <v/>
      </c>
      <c r="C358" s="13">
        <f>(C133-$C$228)/($C$227-$C$228)</f>
        <v/>
      </c>
      <c r="D358" s="13">
        <f>(D133-$D$228)/($D$227-$D$228)</f>
        <v/>
      </c>
      <c r="E358" s="13">
        <f>(E133-$E$228)/($E$227-$E$228)</f>
        <v/>
      </c>
      <c r="F358" s="13">
        <f>(F133-$F$228)/($F$227-$F$228)</f>
        <v/>
      </c>
      <c r="G358" s="13">
        <f>(B358*$B$5)+(C358*$C$5)+(D358*$D$5)+(E358*$E$5)+(F358*$F$5)</f>
        <v/>
      </c>
      <c r="H358" s="8">
        <f>RANK(G358,$G$231:$G$451)</f>
        <v/>
      </c>
    </row>
    <row r="359">
      <c r="A359" s="9">
        <f>A134</f>
        <v/>
      </c>
      <c r="B359" s="13">
        <f>(B134-$B$228)/($B$227-$B$228)</f>
        <v/>
      </c>
      <c r="C359" s="13">
        <f>(C134-$C$228)/($C$227-$C$228)</f>
        <v/>
      </c>
      <c r="D359" s="13">
        <f>(D134-$D$228)/($D$227-$D$228)</f>
        <v/>
      </c>
      <c r="E359" s="13">
        <f>(E134-$E$228)/($E$227-$E$228)</f>
        <v/>
      </c>
      <c r="F359" s="13">
        <f>(F134-$F$228)/($F$227-$F$228)</f>
        <v/>
      </c>
      <c r="G359" s="13">
        <f>(B359*$B$5)+(C359*$C$5)+(D359*$D$5)+(E359*$E$5)+(F359*$F$5)</f>
        <v/>
      </c>
      <c r="H359" s="8">
        <f>RANK(G359,$G$231:$G$451)</f>
        <v/>
      </c>
    </row>
    <row r="360">
      <c r="A360" s="9">
        <f>A135</f>
        <v/>
      </c>
      <c r="B360" s="13">
        <f>(B135-$B$228)/($B$227-$B$228)</f>
        <v/>
      </c>
      <c r="C360" s="13">
        <f>(C135-$C$228)/($C$227-$C$228)</f>
        <v/>
      </c>
      <c r="D360" s="13">
        <f>(D135-$D$228)/($D$227-$D$228)</f>
        <v/>
      </c>
      <c r="E360" s="13">
        <f>(E135-$E$228)/($E$227-$E$228)</f>
        <v/>
      </c>
      <c r="F360" s="13">
        <f>(F135-$F$228)/($F$227-$F$228)</f>
        <v/>
      </c>
      <c r="G360" s="13">
        <f>(B360*$B$5)+(C360*$C$5)+(D360*$D$5)+(E360*$E$5)+(F360*$F$5)</f>
        <v/>
      </c>
      <c r="H360" s="8">
        <f>RANK(G360,$G$231:$G$451)</f>
        <v/>
      </c>
    </row>
    <row r="361">
      <c r="A361" s="9">
        <f>A136</f>
        <v/>
      </c>
      <c r="B361" s="13">
        <f>(B136-$B$228)/($B$227-$B$228)</f>
        <v/>
      </c>
      <c r="C361" s="13">
        <f>(C136-$C$228)/($C$227-$C$228)</f>
        <v/>
      </c>
      <c r="D361" s="13">
        <f>(D136-$D$228)/($D$227-$D$228)</f>
        <v/>
      </c>
      <c r="E361" s="13">
        <f>(E136-$E$228)/($E$227-$E$228)</f>
        <v/>
      </c>
      <c r="F361" s="13">
        <f>(F136-$F$228)/($F$227-$F$228)</f>
        <v/>
      </c>
      <c r="G361" s="13">
        <f>(B361*$B$5)+(C361*$C$5)+(D361*$D$5)+(E361*$E$5)+(F361*$F$5)</f>
        <v/>
      </c>
      <c r="H361" s="8">
        <f>RANK(G361,$G$231:$G$451)</f>
        <v/>
      </c>
    </row>
    <row r="362">
      <c r="A362" s="9">
        <f>A137</f>
        <v/>
      </c>
      <c r="B362" s="13">
        <f>(B137-$B$228)/($B$227-$B$228)</f>
        <v/>
      </c>
      <c r="C362" s="13">
        <f>(C137-$C$228)/($C$227-$C$228)</f>
        <v/>
      </c>
      <c r="D362" s="13">
        <f>(D137-$D$228)/($D$227-$D$228)</f>
        <v/>
      </c>
      <c r="E362" s="13">
        <f>(E137-$E$228)/($E$227-$E$228)</f>
        <v/>
      </c>
      <c r="F362" s="13">
        <f>(F137-$F$228)/($F$227-$F$228)</f>
        <v/>
      </c>
      <c r="G362" s="13">
        <f>(B362*$B$5)+(C362*$C$5)+(D362*$D$5)+(E362*$E$5)+(F362*$F$5)</f>
        <v/>
      </c>
      <c r="H362" s="8">
        <f>RANK(G362,$G$231:$G$451)</f>
        <v/>
      </c>
    </row>
    <row r="363">
      <c r="A363" s="9">
        <f>A138</f>
        <v/>
      </c>
      <c r="B363" s="13">
        <f>(B138-$B$228)/($B$227-$B$228)</f>
        <v/>
      </c>
      <c r="C363" s="13">
        <f>(C138-$C$228)/($C$227-$C$228)</f>
        <v/>
      </c>
      <c r="D363" s="13">
        <f>(D138-$D$228)/($D$227-$D$228)</f>
        <v/>
      </c>
      <c r="E363" s="13">
        <f>(E138-$E$228)/($E$227-$E$228)</f>
        <v/>
      </c>
      <c r="F363" s="13">
        <f>(F138-$F$228)/($F$227-$F$228)</f>
        <v/>
      </c>
      <c r="G363" s="13">
        <f>(B363*$B$5)+(C363*$C$5)+(D363*$D$5)+(E363*$E$5)+(F363*$F$5)</f>
        <v/>
      </c>
      <c r="H363" s="8">
        <f>RANK(G363,$G$231:$G$451)</f>
        <v/>
      </c>
    </row>
    <row r="364">
      <c r="A364" s="9">
        <f>A139</f>
        <v/>
      </c>
      <c r="B364" s="13">
        <f>(B139-$B$228)/($B$227-$B$228)</f>
        <v/>
      </c>
      <c r="C364" s="13">
        <f>(C139-$C$228)/($C$227-$C$228)</f>
        <v/>
      </c>
      <c r="D364" s="13">
        <f>(D139-$D$228)/($D$227-$D$228)</f>
        <v/>
      </c>
      <c r="E364" s="13">
        <f>(E139-$E$228)/($E$227-$E$228)</f>
        <v/>
      </c>
      <c r="F364" s="13">
        <f>(F139-$F$228)/($F$227-$F$228)</f>
        <v/>
      </c>
      <c r="G364" s="13">
        <f>(B364*$B$5)+(C364*$C$5)+(D364*$D$5)+(E364*$E$5)+(F364*$F$5)</f>
        <v/>
      </c>
      <c r="H364" s="8">
        <f>RANK(G364,$G$231:$G$451)</f>
        <v/>
      </c>
    </row>
    <row r="365">
      <c r="A365" s="9">
        <f>A140</f>
        <v/>
      </c>
      <c r="B365" s="13">
        <f>(B140-$B$228)/($B$227-$B$228)</f>
        <v/>
      </c>
      <c r="C365" s="13">
        <f>(C140-$C$228)/($C$227-$C$228)</f>
        <v/>
      </c>
      <c r="D365" s="13">
        <f>(D140-$D$228)/($D$227-$D$228)</f>
        <v/>
      </c>
      <c r="E365" s="13">
        <f>(E140-$E$228)/($E$227-$E$228)</f>
        <v/>
      </c>
      <c r="F365" s="13">
        <f>(F140-$F$228)/($F$227-$F$228)</f>
        <v/>
      </c>
      <c r="G365" s="13">
        <f>(B365*$B$5)+(C365*$C$5)+(D365*$D$5)+(E365*$E$5)+(F365*$F$5)</f>
        <v/>
      </c>
      <c r="H365" s="8">
        <f>RANK(G365,$G$231:$G$451)</f>
        <v/>
      </c>
    </row>
    <row r="366">
      <c r="A366" s="9">
        <f>A141</f>
        <v/>
      </c>
      <c r="B366" s="13">
        <f>(B141-$B$228)/($B$227-$B$228)</f>
        <v/>
      </c>
      <c r="C366" s="13">
        <f>(C141-$C$228)/($C$227-$C$228)</f>
        <v/>
      </c>
      <c r="D366" s="13">
        <f>(D141-$D$228)/($D$227-$D$228)</f>
        <v/>
      </c>
      <c r="E366" s="13">
        <f>(E141-$E$228)/($E$227-$E$228)</f>
        <v/>
      </c>
      <c r="F366" s="13">
        <f>(F141-$F$228)/($F$227-$F$228)</f>
        <v/>
      </c>
      <c r="G366" s="13">
        <f>(B366*$B$5)+(C366*$C$5)+(D366*$D$5)+(E366*$E$5)+(F366*$F$5)</f>
        <v/>
      </c>
      <c r="H366" s="8">
        <f>RANK(G366,$G$231:$G$451)</f>
        <v/>
      </c>
    </row>
    <row r="367">
      <c r="A367" s="9">
        <f>A142</f>
        <v/>
      </c>
      <c r="B367" s="13">
        <f>(B142-$B$228)/($B$227-$B$228)</f>
        <v/>
      </c>
      <c r="C367" s="13">
        <f>(C142-$C$228)/($C$227-$C$228)</f>
        <v/>
      </c>
      <c r="D367" s="13">
        <f>(D142-$D$228)/($D$227-$D$228)</f>
        <v/>
      </c>
      <c r="E367" s="13">
        <f>(E142-$E$228)/($E$227-$E$228)</f>
        <v/>
      </c>
      <c r="F367" s="13">
        <f>(F142-$F$228)/($F$227-$F$228)</f>
        <v/>
      </c>
      <c r="G367" s="13">
        <f>(B367*$B$5)+(C367*$C$5)+(D367*$D$5)+(E367*$E$5)+(F367*$F$5)</f>
        <v/>
      </c>
      <c r="H367" s="8">
        <f>RANK(G367,$G$231:$G$451)</f>
        <v/>
      </c>
    </row>
    <row r="368">
      <c r="A368" s="9">
        <f>A143</f>
        <v/>
      </c>
      <c r="B368" s="13">
        <f>(B143-$B$228)/($B$227-$B$228)</f>
        <v/>
      </c>
      <c r="C368" s="13">
        <f>(C143-$C$228)/($C$227-$C$228)</f>
        <v/>
      </c>
      <c r="D368" s="13">
        <f>(D143-$D$228)/($D$227-$D$228)</f>
        <v/>
      </c>
      <c r="E368" s="13">
        <f>(E143-$E$228)/($E$227-$E$228)</f>
        <v/>
      </c>
      <c r="F368" s="13">
        <f>(F143-$F$228)/($F$227-$F$228)</f>
        <v/>
      </c>
      <c r="G368" s="13">
        <f>(B368*$B$5)+(C368*$C$5)+(D368*$D$5)+(E368*$E$5)+(F368*$F$5)</f>
        <v/>
      </c>
      <c r="H368" s="8">
        <f>RANK(G368,$G$231:$G$451)</f>
        <v/>
      </c>
    </row>
    <row r="369">
      <c r="A369" s="9">
        <f>A144</f>
        <v/>
      </c>
      <c r="B369" s="13">
        <f>(B144-$B$228)/($B$227-$B$228)</f>
        <v/>
      </c>
      <c r="C369" s="13">
        <f>(C144-$C$228)/($C$227-$C$228)</f>
        <v/>
      </c>
      <c r="D369" s="13">
        <f>(D144-$D$228)/($D$227-$D$228)</f>
        <v/>
      </c>
      <c r="E369" s="13">
        <f>(E144-$E$228)/($E$227-$E$228)</f>
        <v/>
      </c>
      <c r="F369" s="13">
        <f>(F144-$F$228)/($F$227-$F$228)</f>
        <v/>
      </c>
      <c r="G369" s="13">
        <f>(B369*$B$5)+(C369*$C$5)+(D369*$D$5)+(E369*$E$5)+(F369*$F$5)</f>
        <v/>
      </c>
      <c r="H369" s="8">
        <f>RANK(G369,$G$231:$G$451)</f>
        <v/>
      </c>
    </row>
    <row r="370">
      <c r="A370" s="9">
        <f>A145</f>
        <v/>
      </c>
      <c r="B370" s="13">
        <f>(B145-$B$228)/($B$227-$B$228)</f>
        <v/>
      </c>
      <c r="C370" s="13">
        <f>(C145-$C$228)/($C$227-$C$228)</f>
        <v/>
      </c>
      <c r="D370" s="13">
        <f>(D145-$D$228)/($D$227-$D$228)</f>
        <v/>
      </c>
      <c r="E370" s="13">
        <f>(E145-$E$228)/($E$227-$E$228)</f>
        <v/>
      </c>
      <c r="F370" s="13">
        <f>(F145-$F$228)/($F$227-$F$228)</f>
        <v/>
      </c>
      <c r="G370" s="13">
        <f>(B370*$B$5)+(C370*$C$5)+(D370*$D$5)+(E370*$E$5)+(F370*$F$5)</f>
        <v/>
      </c>
      <c r="H370" s="8">
        <f>RANK(G370,$G$231:$G$451)</f>
        <v/>
      </c>
    </row>
    <row r="371">
      <c r="A371" s="9">
        <f>A146</f>
        <v/>
      </c>
      <c r="B371" s="13">
        <f>(B146-$B$228)/($B$227-$B$228)</f>
        <v/>
      </c>
      <c r="C371" s="13">
        <f>(C146-$C$228)/($C$227-$C$228)</f>
        <v/>
      </c>
      <c r="D371" s="13">
        <f>(D146-$D$228)/($D$227-$D$228)</f>
        <v/>
      </c>
      <c r="E371" s="13">
        <f>(E146-$E$228)/($E$227-$E$228)</f>
        <v/>
      </c>
      <c r="F371" s="13">
        <f>(F146-$F$228)/($F$227-$F$228)</f>
        <v/>
      </c>
      <c r="G371" s="13">
        <f>(B371*$B$5)+(C371*$C$5)+(D371*$D$5)+(E371*$E$5)+(F371*$F$5)</f>
        <v/>
      </c>
      <c r="H371" s="8">
        <f>RANK(G371,$G$231:$G$451)</f>
        <v/>
      </c>
    </row>
    <row r="372">
      <c r="A372" s="9">
        <f>A147</f>
        <v/>
      </c>
      <c r="B372" s="13">
        <f>(B147-$B$228)/($B$227-$B$228)</f>
        <v/>
      </c>
      <c r="C372" s="13">
        <f>(C147-$C$228)/($C$227-$C$228)</f>
        <v/>
      </c>
      <c r="D372" s="13">
        <f>(D147-$D$228)/($D$227-$D$228)</f>
        <v/>
      </c>
      <c r="E372" s="13">
        <f>(E147-$E$228)/($E$227-$E$228)</f>
        <v/>
      </c>
      <c r="F372" s="13">
        <f>(F147-$F$228)/($F$227-$F$228)</f>
        <v/>
      </c>
      <c r="G372" s="13">
        <f>(B372*$B$5)+(C372*$C$5)+(D372*$D$5)+(E372*$E$5)+(F372*$F$5)</f>
        <v/>
      </c>
      <c r="H372" s="8">
        <f>RANK(G372,$G$231:$G$451)</f>
        <v/>
      </c>
    </row>
    <row r="373">
      <c r="A373" s="9">
        <f>A148</f>
        <v/>
      </c>
      <c r="B373" s="13">
        <f>(B148-$B$228)/($B$227-$B$228)</f>
        <v/>
      </c>
      <c r="C373" s="13">
        <f>(C148-$C$228)/($C$227-$C$228)</f>
        <v/>
      </c>
      <c r="D373" s="13">
        <f>(D148-$D$228)/($D$227-$D$228)</f>
        <v/>
      </c>
      <c r="E373" s="13">
        <f>(E148-$E$228)/($E$227-$E$228)</f>
        <v/>
      </c>
      <c r="F373" s="13">
        <f>(F148-$F$228)/($F$227-$F$228)</f>
        <v/>
      </c>
      <c r="G373" s="13">
        <f>(B373*$B$5)+(C373*$C$5)+(D373*$D$5)+(E373*$E$5)+(F373*$F$5)</f>
        <v/>
      </c>
      <c r="H373" s="8">
        <f>RANK(G373,$G$231:$G$451)</f>
        <v/>
      </c>
    </row>
    <row r="374">
      <c r="A374" s="9">
        <f>A149</f>
        <v/>
      </c>
      <c r="B374" s="13">
        <f>(B149-$B$228)/($B$227-$B$228)</f>
        <v/>
      </c>
      <c r="C374" s="13">
        <f>(C149-$C$228)/($C$227-$C$228)</f>
        <v/>
      </c>
      <c r="D374" s="13">
        <f>(D149-$D$228)/($D$227-$D$228)</f>
        <v/>
      </c>
      <c r="E374" s="13">
        <f>(E149-$E$228)/($E$227-$E$228)</f>
        <v/>
      </c>
      <c r="F374" s="13">
        <f>(F149-$F$228)/($F$227-$F$228)</f>
        <v/>
      </c>
      <c r="G374" s="13">
        <f>(B374*$B$5)+(C374*$C$5)+(D374*$D$5)+(E374*$E$5)+(F374*$F$5)</f>
        <v/>
      </c>
      <c r="H374" s="8">
        <f>RANK(G374,$G$231:$G$451)</f>
        <v/>
      </c>
    </row>
    <row r="375">
      <c r="A375" s="9">
        <f>A150</f>
        <v/>
      </c>
      <c r="B375" s="13">
        <f>(B150-$B$228)/($B$227-$B$228)</f>
        <v/>
      </c>
      <c r="C375" s="13">
        <f>(C150-$C$228)/($C$227-$C$228)</f>
        <v/>
      </c>
      <c r="D375" s="13">
        <f>(D150-$D$228)/($D$227-$D$228)</f>
        <v/>
      </c>
      <c r="E375" s="13">
        <f>(E150-$E$228)/($E$227-$E$228)</f>
        <v/>
      </c>
      <c r="F375" s="13">
        <f>(F150-$F$228)/($F$227-$F$228)</f>
        <v/>
      </c>
      <c r="G375" s="13">
        <f>(B375*$B$5)+(C375*$C$5)+(D375*$D$5)+(E375*$E$5)+(F375*$F$5)</f>
        <v/>
      </c>
      <c r="H375" s="8">
        <f>RANK(G375,$G$231:$G$451)</f>
        <v/>
      </c>
    </row>
    <row r="376">
      <c r="A376" s="9">
        <f>A151</f>
        <v/>
      </c>
      <c r="B376" s="13">
        <f>(B151-$B$228)/($B$227-$B$228)</f>
        <v/>
      </c>
      <c r="C376" s="13">
        <f>(C151-$C$228)/($C$227-$C$228)</f>
        <v/>
      </c>
      <c r="D376" s="13">
        <f>(D151-$D$228)/($D$227-$D$228)</f>
        <v/>
      </c>
      <c r="E376" s="13">
        <f>(E151-$E$228)/($E$227-$E$228)</f>
        <v/>
      </c>
      <c r="F376" s="13">
        <f>(F151-$F$228)/($F$227-$F$228)</f>
        <v/>
      </c>
      <c r="G376" s="13">
        <f>(B376*$B$5)+(C376*$C$5)+(D376*$D$5)+(E376*$E$5)+(F376*$F$5)</f>
        <v/>
      </c>
      <c r="H376" s="8">
        <f>RANK(G376,$G$231:$G$451)</f>
        <v/>
      </c>
    </row>
    <row r="377">
      <c r="A377" s="9">
        <f>A152</f>
        <v/>
      </c>
      <c r="B377" s="13">
        <f>(B152-$B$228)/($B$227-$B$228)</f>
        <v/>
      </c>
      <c r="C377" s="13">
        <f>(C152-$C$228)/($C$227-$C$228)</f>
        <v/>
      </c>
      <c r="D377" s="13">
        <f>(D152-$D$228)/($D$227-$D$228)</f>
        <v/>
      </c>
      <c r="E377" s="13">
        <f>(E152-$E$228)/($E$227-$E$228)</f>
        <v/>
      </c>
      <c r="F377" s="13">
        <f>(F152-$F$228)/($F$227-$F$228)</f>
        <v/>
      </c>
      <c r="G377" s="13">
        <f>(B377*$B$5)+(C377*$C$5)+(D377*$D$5)+(E377*$E$5)+(F377*$F$5)</f>
        <v/>
      </c>
      <c r="H377" s="8">
        <f>RANK(G377,$G$231:$G$451)</f>
        <v/>
      </c>
    </row>
    <row r="378">
      <c r="A378" s="9">
        <f>A153</f>
        <v/>
      </c>
      <c r="B378" s="13">
        <f>(B153-$B$228)/($B$227-$B$228)</f>
        <v/>
      </c>
      <c r="C378" s="13">
        <f>(C153-$C$228)/($C$227-$C$228)</f>
        <v/>
      </c>
      <c r="D378" s="13">
        <f>(D153-$D$228)/($D$227-$D$228)</f>
        <v/>
      </c>
      <c r="E378" s="13">
        <f>(E153-$E$228)/($E$227-$E$228)</f>
        <v/>
      </c>
      <c r="F378" s="13">
        <f>(F153-$F$228)/($F$227-$F$228)</f>
        <v/>
      </c>
      <c r="G378" s="13">
        <f>(B378*$B$5)+(C378*$C$5)+(D378*$D$5)+(E378*$E$5)+(F378*$F$5)</f>
        <v/>
      </c>
      <c r="H378" s="8">
        <f>RANK(G378,$G$231:$G$451)</f>
        <v/>
      </c>
    </row>
    <row r="379">
      <c r="A379" s="9">
        <f>A154</f>
        <v/>
      </c>
      <c r="B379" s="13">
        <f>(B154-$B$228)/($B$227-$B$228)</f>
        <v/>
      </c>
      <c r="C379" s="13">
        <f>(C154-$C$228)/($C$227-$C$228)</f>
        <v/>
      </c>
      <c r="D379" s="13">
        <f>(D154-$D$228)/($D$227-$D$228)</f>
        <v/>
      </c>
      <c r="E379" s="13">
        <f>(E154-$E$228)/($E$227-$E$228)</f>
        <v/>
      </c>
      <c r="F379" s="13">
        <f>(F154-$F$228)/($F$227-$F$228)</f>
        <v/>
      </c>
      <c r="G379" s="13">
        <f>(B379*$B$5)+(C379*$C$5)+(D379*$D$5)+(E379*$E$5)+(F379*$F$5)</f>
        <v/>
      </c>
      <c r="H379" s="8">
        <f>RANK(G379,$G$231:$G$451)</f>
        <v/>
      </c>
    </row>
    <row r="380">
      <c r="A380" s="9">
        <f>A155</f>
        <v/>
      </c>
      <c r="B380" s="13">
        <f>(B155-$B$228)/($B$227-$B$228)</f>
        <v/>
      </c>
      <c r="C380" s="13">
        <f>(C155-$C$228)/($C$227-$C$228)</f>
        <v/>
      </c>
      <c r="D380" s="13">
        <f>(D155-$D$228)/($D$227-$D$228)</f>
        <v/>
      </c>
      <c r="E380" s="13">
        <f>(E155-$E$228)/($E$227-$E$228)</f>
        <v/>
      </c>
      <c r="F380" s="13">
        <f>(F155-$F$228)/($F$227-$F$228)</f>
        <v/>
      </c>
      <c r="G380" s="13">
        <f>(B380*$B$5)+(C380*$C$5)+(D380*$D$5)+(E380*$E$5)+(F380*$F$5)</f>
        <v/>
      </c>
      <c r="H380" s="8">
        <f>RANK(G380,$G$231:$G$451)</f>
        <v/>
      </c>
    </row>
    <row r="381">
      <c r="A381" s="9">
        <f>A156</f>
        <v/>
      </c>
      <c r="B381" s="13">
        <f>(B156-$B$228)/($B$227-$B$228)</f>
        <v/>
      </c>
      <c r="C381" s="13">
        <f>(C156-$C$228)/($C$227-$C$228)</f>
        <v/>
      </c>
      <c r="D381" s="13">
        <f>(D156-$D$228)/($D$227-$D$228)</f>
        <v/>
      </c>
      <c r="E381" s="13">
        <f>(E156-$E$228)/($E$227-$E$228)</f>
        <v/>
      </c>
      <c r="F381" s="13">
        <f>(F156-$F$228)/($F$227-$F$228)</f>
        <v/>
      </c>
      <c r="G381" s="13">
        <f>(B381*$B$5)+(C381*$C$5)+(D381*$D$5)+(E381*$E$5)+(F381*$F$5)</f>
        <v/>
      </c>
      <c r="H381" s="8">
        <f>RANK(G381,$G$231:$G$451)</f>
        <v/>
      </c>
    </row>
    <row r="382">
      <c r="A382" s="9">
        <f>A157</f>
        <v/>
      </c>
      <c r="B382" s="13">
        <f>(B157-$B$228)/($B$227-$B$228)</f>
        <v/>
      </c>
      <c r="C382" s="13">
        <f>(C157-$C$228)/($C$227-$C$228)</f>
        <v/>
      </c>
      <c r="D382" s="13">
        <f>(D157-$D$228)/($D$227-$D$228)</f>
        <v/>
      </c>
      <c r="E382" s="13">
        <f>(E157-$E$228)/($E$227-$E$228)</f>
        <v/>
      </c>
      <c r="F382" s="13">
        <f>(F157-$F$228)/($F$227-$F$228)</f>
        <v/>
      </c>
      <c r="G382" s="13">
        <f>(B382*$B$5)+(C382*$C$5)+(D382*$D$5)+(E382*$E$5)+(F382*$F$5)</f>
        <v/>
      </c>
      <c r="H382" s="8">
        <f>RANK(G382,$G$231:$G$451)</f>
        <v/>
      </c>
    </row>
    <row r="383">
      <c r="A383" s="9">
        <f>A158</f>
        <v/>
      </c>
      <c r="B383" s="13">
        <f>(B158-$B$228)/($B$227-$B$228)</f>
        <v/>
      </c>
      <c r="C383" s="13">
        <f>(C158-$C$228)/($C$227-$C$228)</f>
        <v/>
      </c>
      <c r="D383" s="13">
        <f>(D158-$D$228)/($D$227-$D$228)</f>
        <v/>
      </c>
      <c r="E383" s="13">
        <f>(E158-$E$228)/($E$227-$E$228)</f>
        <v/>
      </c>
      <c r="F383" s="13">
        <f>(F158-$F$228)/($F$227-$F$228)</f>
        <v/>
      </c>
      <c r="G383" s="13">
        <f>(B383*$B$5)+(C383*$C$5)+(D383*$D$5)+(E383*$E$5)+(F383*$F$5)</f>
        <v/>
      </c>
      <c r="H383" s="8">
        <f>RANK(G383,$G$231:$G$451)</f>
        <v/>
      </c>
    </row>
    <row r="384">
      <c r="A384" s="9">
        <f>A159</f>
        <v/>
      </c>
      <c r="B384" s="13">
        <f>(B159-$B$228)/($B$227-$B$228)</f>
        <v/>
      </c>
      <c r="C384" s="13">
        <f>(C159-$C$228)/($C$227-$C$228)</f>
        <v/>
      </c>
      <c r="D384" s="13">
        <f>(D159-$D$228)/($D$227-$D$228)</f>
        <v/>
      </c>
      <c r="E384" s="13">
        <f>(E159-$E$228)/($E$227-$E$228)</f>
        <v/>
      </c>
      <c r="F384" s="13">
        <f>(F159-$F$228)/($F$227-$F$228)</f>
        <v/>
      </c>
      <c r="G384" s="13">
        <f>(B384*$B$5)+(C384*$C$5)+(D384*$D$5)+(E384*$E$5)+(F384*$F$5)</f>
        <v/>
      </c>
      <c r="H384" s="8">
        <f>RANK(G384,$G$231:$G$451)</f>
        <v/>
      </c>
    </row>
    <row r="385">
      <c r="A385" s="9">
        <f>A160</f>
        <v/>
      </c>
      <c r="B385" s="13">
        <f>(B160-$B$228)/($B$227-$B$228)</f>
        <v/>
      </c>
      <c r="C385" s="13">
        <f>(C160-$C$228)/($C$227-$C$228)</f>
        <v/>
      </c>
      <c r="D385" s="13">
        <f>(D160-$D$228)/($D$227-$D$228)</f>
        <v/>
      </c>
      <c r="E385" s="13">
        <f>(E160-$E$228)/($E$227-$E$228)</f>
        <v/>
      </c>
      <c r="F385" s="13">
        <f>(F160-$F$228)/($F$227-$F$228)</f>
        <v/>
      </c>
      <c r="G385" s="13">
        <f>(B385*$B$5)+(C385*$C$5)+(D385*$D$5)+(E385*$E$5)+(F385*$F$5)</f>
        <v/>
      </c>
      <c r="H385" s="8">
        <f>RANK(G385,$G$231:$G$451)</f>
        <v/>
      </c>
    </row>
    <row r="386">
      <c r="A386" s="9">
        <f>A161</f>
        <v/>
      </c>
      <c r="B386" s="13">
        <f>(B161-$B$228)/($B$227-$B$228)</f>
        <v/>
      </c>
      <c r="C386" s="13">
        <f>(C161-$C$228)/($C$227-$C$228)</f>
        <v/>
      </c>
      <c r="D386" s="13">
        <f>(D161-$D$228)/($D$227-$D$228)</f>
        <v/>
      </c>
      <c r="E386" s="13">
        <f>(E161-$E$228)/($E$227-$E$228)</f>
        <v/>
      </c>
      <c r="F386" s="13">
        <f>(F161-$F$228)/($F$227-$F$228)</f>
        <v/>
      </c>
      <c r="G386" s="13">
        <f>(B386*$B$5)+(C386*$C$5)+(D386*$D$5)+(E386*$E$5)+(F386*$F$5)</f>
        <v/>
      </c>
      <c r="H386" s="8">
        <f>RANK(G386,$G$231:$G$451)</f>
        <v/>
      </c>
    </row>
    <row r="387">
      <c r="A387" s="9">
        <f>A162</f>
        <v/>
      </c>
      <c r="B387" s="13">
        <f>(B162-$B$228)/($B$227-$B$228)</f>
        <v/>
      </c>
      <c r="C387" s="13">
        <f>(C162-$C$228)/($C$227-$C$228)</f>
        <v/>
      </c>
      <c r="D387" s="13">
        <f>(D162-$D$228)/($D$227-$D$228)</f>
        <v/>
      </c>
      <c r="E387" s="13">
        <f>(E162-$E$228)/($E$227-$E$228)</f>
        <v/>
      </c>
      <c r="F387" s="13">
        <f>(F162-$F$228)/($F$227-$F$228)</f>
        <v/>
      </c>
      <c r="G387" s="13">
        <f>(B387*$B$5)+(C387*$C$5)+(D387*$D$5)+(E387*$E$5)+(F387*$F$5)</f>
        <v/>
      </c>
      <c r="H387" s="8">
        <f>RANK(G387,$G$231:$G$451)</f>
        <v/>
      </c>
    </row>
    <row r="388">
      <c r="A388" s="9">
        <f>A163</f>
        <v/>
      </c>
      <c r="B388" s="13">
        <f>(B163-$B$228)/($B$227-$B$228)</f>
        <v/>
      </c>
      <c r="C388" s="13">
        <f>(C163-$C$228)/($C$227-$C$228)</f>
        <v/>
      </c>
      <c r="D388" s="13">
        <f>(D163-$D$228)/($D$227-$D$228)</f>
        <v/>
      </c>
      <c r="E388" s="13">
        <f>(E163-$E$228)/($E$227-$E$228)</f>
        <v/>
      </c>
      <c r="F388" s="13">
        <f>(F163-$F$228)/($F$227-$F$228)</f>
        <v/>
      </c>
      <c r="G388" s="13">
        <f>(B388*$B$5)+(C388*$C$5)+(D388*$D$5)+(E388*$E$5)+(F388*$F$5)</f>
        <v/>
      </c>
      <c r="H388" s="8">
        <f>RANK(G388,$G$231:$G$451)</f>
        <v/>
      </c>
    </row>
    <row r="389">
      <c r="A389" s="9">
        <f>A164</f>
        <v/>
      </c>
      <c r="B389" s="13">
        <f>(B164-$B$228)/($B$227-$B$228)</f>
        <v/>
      </c>
      <c r="C389" s="13">
        <f>(C164-$C$228)/($C$227-$C$228)</f>
        <v/>
      </c>
      <c r="D389" s="13">
        <f>(D164-$D$228)/($D$227-$D$228)</f>
        <v/>
      </c>
      <c r="E389" s="13">
        <f>(E164-$E$228)/($E$227-$E$228)</f>
        <v/>
      </c>
      <c r="F389" s="13">
        <f>(F164-$F$228)/($F$227-$F$228)</f>
        <v/>
      </c>
      <c r="G389" s="13">
        <f>(B389*$B$5)+(C389*$C$5)+(D389*$D$5)+(E389*$E$5)+(F389*$F$5)</f>
        <v/>
      </c>
      <c r="H389" s="8">
        <f>RANK(G389,$G$231:$G$451)</f>
        <v/>
      </c>
    </row>
    <row r="390">
      <c r="A390" s="9">
        <f>A165</f>
        <v/>
      </c>
      <c r="B390" s="13">
        <f>(B165-$B$228)/($B$227-$B$228)</f>
        <v/>
      </c>
      <c r="C390" s="13">
        <f>(C165-$C$228)/($C$227-$C$228)</f>
        <v/>
      </c>
      <c r="D390" s="13">
        <f>(D165-$D$228)/($D$227-$D$228)</f>
        <v/>
      </c>
      <c r="E390" s="13">
        <f>(E165-$E$228)/($E$227-$E$228)</f>
        <v/>
      </c>
      <c r="F390" s="13">
        <f>(F165-$F$228)/($F$227-$F$228)</f>
        <v/>
      </c>
      <c r="G390" s="13">
        <f>(B390*$B$5)+(C390*$C$5)+(D390*$D$5)+(E390*$E$5)+(F390*$F$5)</f>
        <v/>
      </c>
      <c r="H390" s="8">
        <f>RANK(G390,$G$231:$G$451)</f>
        <v/>
      </c>
    </row>
    <row r="391">
      <c r="A391" s="9">
        <f>A166</f>
        <v/>
      </c>
      <c r="B391" s="13">
        <f>(B166-$B$228)/($B$227-$B$228)</f>
        <v/>
      </c>
      <c r="C391" s="13">
        <f>(C166-$C$228)/($C$227-$C$228)</f>
        <v/>
      </c>
      <c r="D391" s="13">
        <f>(D166-$D$228)/($D$227-$D$228)</f>
        <v/>
      </c>
      <c r="E391" s="13">
        <f>(E166-$E$228)/($E$227-$E$228)</f>
        <v/>
      </c>
      <c r="F391" s="13">
        <f>(F166-$F$228)/($F$227-$F$228)</f>
        <v/>
      </c>
      <c r="G391" s="13">
        <f>(B391*$B$5)+(C391*$C$5)+(D391*$D$5)+(E391*$E$5)+(F391*$F$5)</f>
        <v/>
      </c>
      <c r="H391" s="8">
        <f>RANK(G391,$G$231:$G$451)</f>
        <v/>
      </c>
    </row>
    <row r="392">
      <c r="A392" s="9">
        <f>A167</f>
        <v/>
      </c>
      <c r="B392" s="13">
        <f>(B167-$B$228)/($B$227-$B$228)</f>
        <v/>
      </c>
      <c r="C392" s="13">
        <f>(C167-$C$228)/($C$227-$C$228)</f>
        <v/>
      </c>
      <c r="D392" s="13">
        <f>(D167-$D$228)/($D$227-$D$228)</f>
        <v/>
      </c>
      <c r="E392" s="13">
        <f>(E167-$E$228)/($E$227-$E$228)</f>
        <v/>
      </c>
      <c r="F392" s="13">
        <f>(F167-$F$228)/($F$227-$F$228)</f>
        <v/>
      </c>
      <c r="G392" s="13">
        <f>(B392*$B$5)+(C392*$C$5)+(D392*$D$5)+(E392*$E$5)+(F392*$F$5)</f>
        <v/>
      </c>
      <c r="H392" s="8">
        <f>RANK(G392,$G$231:$G$451)</f>
        <v/>
      </c>
    </row>
    <row r="393">
      <c r="A393" s="9">
        <f>A168</f>
        <v/>
      </c>
      <c r="B393" s="13">
        <f>(B168-$B$228)/($B$227-$B$228)</f>
        <v/>
      </c>
      <c r="C393" s="13">
        <f>(C168-$C$228)/($C$227-$C$228)</f>
        <v/>
      </c>
      <c r="D393" s="13">
        <f>(D168-$D$228)/($D$227-$D$228)</f>
        <v/>
      </c>
      <c r="E393" s="13">
        <f>(E168-$E$228)/($E$227-$E$228)</f>
        <v/>
      </c>
      <c r="F393" s="13">
        <f>(F168-$F$228)/($F$227-$F$228)</f>
        <v/>
      </c>
      <c r="G393" s="13">
        <f>(B393*$B$5)+(C393*$C$5)+(D393*$D$5)+(E393*$E$5)+(F393*$F$5)</f>
        <v/>
      </c>
      <c r="H393" s="8">
        <f>RANK(G393,$G$231:$G$451)</f>
        <v/>
      </c>
    </row>
    <row r="394">
      <c r="A394" s="9">
        <f>A169</f>
        <v/>
      </c>
      <c r="B394" s="13">
        <f>(B169-$B$228)/($B$227-$B$228)</f>
        <v/>
      </c>
      <c r="C394" s="13">
        <f>(C169-$C$228)/($C$227-$C$228)</f>
        <v/>
      </c>
      <c r="D394" s="13">
        <f>(D169-$D$228)/($D$227-$D$228)</f>
        <v/>
      </c>
      <c r="E394" s="13">
        <f>(E169-$E$228)/($E$227-$E$228)</f>
        <v/>
      </c>
      <c r="F394" s="13">
        <f>(F169-$F$228)/($F$227-$F$228)</f>
        <v/>
      </c>
      <c r="G394" s="13">
        <f>(B394*$B$5)+(C394*$C$5)+(D394*$D$5)+(E394*$E$5)+(F394*$F$5)</f>
        <v/>
      </c>
      <c r="H394" s="8">
        <f>RANK(G394,$G$231:$G$451)</f>
        <v/>
      </c>
    </row>
    <row r="395">
      <c r="A395" s="9">
        <f>A170</f>
        <v/>
      </c>
      <c r="B395" s="13">
        <f>(B170-$B$228)/($B$227-$B$228)</f>
        <v/>
      </c>
      <c r="C395" s="13">
        <f>(C170-$C$228)/($C$227-$C$228)</f>
        <v/>
      </c>
      <c r="D395" s="13">
        <f>(D170-$D$228)/($D$227-$D$228)</f>
        <v/>
      </c>
      <c r="E395" s="13">
        <f>(E170-$E$228)/($E$227-$E$228)</f>
        <v/>
      </c>
      <c r="F395" s="13">
        <f>(F170-$F$228)/($F$227-$F$228)</f>
        <v/>
      </c>
      <c r="G395" s="13">
        <f>(B395*$B$5)+(C395*$C$5)+(D395*$D$5)+(E395*$E$5)+(F395*$F$5)</f>
        <v/>
      </c>
      <c r="H395" s="8">
        <f>RANK(G395,$G$231:$G$451)</f>
        <v/>
      </c>
    </row>
    <row r="396">
      <c r="A396" s="9">
        <f>A171</f>
        <v/>
      </c>
      <c r="B396" s="13">
        <f>(B171-$B$228)/($B$227-$B$228)</f>
        <v/>
      </c>
      <c r="C396" s="13">
        <f>(C171-$C$228)/($C$227-$C$228)</f>
        <v/>
      </c>
      <c r="D396" s="13">
        <f>(D171-$D$228)/($D$227-$D$228)</f>
        <v/>
      </c>
      <c r="E396" s="13">
        <f>(E171-$E$228)/($E$227-$E$228)</f>
        <v/>
      </c>
      <c r="F396" s="13">
        <f>(F171-$F$228)/($F$227-$F$228)</f>
        <v/>
      </c>
      <c r="G396" s="13">
        <f>(B396*$B$5)+(C396*$C$5)+(D396*$D$5)+(E396*$E$5)+(F396*$F$5)</f>
        <v/>
      </c>
      <c r="H396" s="8">
        <f>RANK(G396,$G$231:$G$451)</f>
        <v/>
      </c>
    </row>
    <row r="397">
      <c r="A397" s="9">
        <f>A172</f>
        <v/>
      </c>
      <c r="B397" s="13">
        <f>(B172-$B$228)/($B$227-$B$228)</f>
        <v/>
      </c>
      <c r="C397" s="13">
        <f>(C172-$C$228)/($C$227-$C$228)</f>
        <v/>
      </c>
      <c r="D397" s="13">
        <f>(D172-$D$228)/($D$227-$D$228)</f>
        <v/>
      </c>
      <c r="E397" s="13">
        <f>(E172-$E$228)/($E$227-$E$228)</f>
        <v/>
      </c>
      <c r="F397" s="13">
        <f>(F172-$F$228)/($F$227-$F$228)</f>
        <v/>
      </c>
      <c r="G397" s="13">
        <f>(B397*$B$5)+(C397*$C$5)+(D397*$D$5)+(E397*$E$5)+(F397*$F$5)</f>
        <v/>
      </c>
      <c r="H397" s="8">
        <f>RANK(G397,$G$231:$G$451)</f>
        <v/>
      </c>
    </row>
    <row r="398">
      <c r="A398" s="9">
        <f>A173</f>
        <v/>
      </c>
      <c r="B398" s="13">
        <f>(B173-$B$228)/($B$227-$B$228)</f>
        <v/>
      </c>
      <c r="C398" s="13">
        <f>(C173-$C$228)/($C$227-$C$228)</f>
        <v/>
      </c>
      <c r="D398" s="13">
        <f>(D173-$D$228)/($D$227-$D$228)</f>
        <v/>
      </c>
      <c r="E398" s="13">
        <f>(E173-$E$228)/($E$227-$E$228)</f>
        <v/>
      </c>
      <c r="F398" s="13">
        <f>(F173-$F$228)/($F$227-$F$228)</f>
        <v/>
      </c>
      <c r="G398" s="13">
        <f>(B398*$B$5)+(C398*$C$5)+(D398*$D$5)+(E398*$E$5)+(F398*$F$5)</f>
        <v/>
      </c>
      <c r="H398" s="8">
        <f>RANK(G398,$G$231:$G$451)</f>
        <v/>
      </c>
    </row>
    <row r="399">
      <c r="A399" s="9">
        <f>A174</f>
        <v/>
      </c>
      <c r="B399" s="13">
        <f>(B174-$B$228)/($B$227-$B$228)</f>
        <v/>
      </c>
      <c r="C399" s="13">
        <f>(C174-$C$228)/($C$227-$C$228)</f>
        <v/>
      </c>
      <c r="D399" s="13">
        <f>(D174-$D$228)/($D$227-$D$228)</f>
        <v/>
      </c>
      <c r="E399" s="13">
        <f>(E174-$E$228)/($E$227-$E$228)</f>
        <v/>
      </c>
      <c r="F399" s="13">
        <f>(F174-$F$228)/($F$227-$F$228)</f>
        <v/>
      </c>
      <c r="G399" s="13">
        <f>(B399*$B$5)+(C399*$C$5)+(D399*$D$5)+(E399*$E$5)+(F399*$F$5)</f>
        <v/>
      </c>
      <c r="H399" s="8">
        <f>RANK(G399,$G$231:$G$451)</f>
        <v/>
      </c>
    </row>
    <row r="400">
      <c r="A400" s="9">
        <f>A175</f>
        <v/>
      </c>
      <c r="B400" s="13">
        <f>(B175-$B$228)/($B$227-$B$228)</f>
        <v/>
      </c>
      <c r="C400" s="13">
        <f>(C175-$C$228)/($C$227-$C$228)</f>
        <v/>
      </c>
      <c r="D400" s="13">
        <f>(D175-$D$228)/($D$227-$D$228)</f>
        <v/>
      </c>
      <c r="E400" s="13">
        <f>(E175-$E$228)/($E$227-$E$228)</f>
        <v/>
      </c>
      <c r="F400" s="13">
        <f>(F175-$F$228)/($F$227-$F$228)</f>
        <v/>
      </c>
      <c r="G400" s="13">
        <f>(B400*$B$5)+(C400*$C$5)+(D400*$D$5)+(E400*$E$5)+(F400*$F$5)</f>
        <v/>
      </c>
      <c r="H400" s="8">
        <f>RANK(G400,$G$231:$G$451)</f>
        <v/>
      </c>
    </row>
    <row r="401">
      <c r="A401" s="9">
        <f>A176</f>
        <v/>
      </c>
      <c r="B401" s="13">
        <f>(B176-$B$228)/($B$227-$B$228)</f>
        <v/>
      </c>
      <c r="C401" s="13">
        <f>(C176-$C$228)/($C$227-$C$228)</f>
        <v/>
      </c>
      <c r="D401" s="13">
        <f>(D176-$D$228)/($D$227-$D$228)</f>
        <v/>
      </c>
      <c r="E401" s="13">
        <f>(E176-$E$228)/($E$227-$E$228)</f>
        <v/>
      </c>
      <c r="F401" s="13">
        <f>(F176-$F$228)/($F$227-$F$228)</f>
        <v/>
      </c>
      <c r="G401" s="13">
        <f>(B401*$B$5)+(C401*$C$5)+(D401*$D$5)+(E401*$E$5)+(F401*$F$5)</f>
        <v/>
      </c>
      <c r="H401" s="8">
        <f>RANK(G401,$G$231:$G$451)</f>
        <v/>
      </c>
    </row>
    <row r="402">
      <c r="A402" s="9">
        <f>A177</f>
        <v/>
      </c>
      <c r="B402" s="13">
        <f>(B177-$B$228)/($B$227-$B$228)</f>
        <v/>
      </c>
      <c r="C402" s="13">
        <f>(C177-$C$228)/($C$227-$C$228)</f>
        <v/>
      </c>
      <c r="D402" s="13">
        <f>(D177-$D$228)/($D$227-$D$228)</f>
        <v/>
      </c>
      <c r="E402" s="13">
        <f>(E177-$E$228)/($E$227-$E$228)</f>
        <v/>
      </c>
      <c r="F402" s="13">
        <f>(F177-$F$228)/($F$227-$F$228)</f>
        <v/>
      </c>
      <c r="G402" s="13">
        <f>(B402*$B$5)+(C402*$C$5)+(D402*$D$5)+(E402*$E$5)+(F402*$F$5)</f>
        <v/>
      </c>
      <c r="H402" s="8">
        <f>RANK(G402,$G$231:$G$451)</f>
        <v/>
      </c>
    </row>
    <row r="403">
      <c r="A403" s="9">
        <f>A178</f>
        <v/>
      </c>
      <c r="B403" s="13">
        <f>(B178-$B$228)/($B$227-$B$228)</f>
        <v/>
      </c>
      <c r="C403" s="13">
        <f>(C178-$C$228)/($C$227-$C$228)</f>
        <v/>
      </c>
      <c r="D403" s="13">
        <f>(D178-$D$228)/($D$227-$D$228)</f>
        <v/>
      </c>
      <c r="E403" s="13">
        <f>(E178-$E$228)/($E$227-$E$228)</f>
        <v/>
      </c>
      <c r="F403" s="13">
        <f>(F178-$F$228)/($F$227-$F$228)</f>
        <v/>
      </c>
      <c r="G403" s="13">
        <f>(B403*$B$5)+(C403*$C$5)+(D403*$D$5)+(E403*$E$5)+(F403*$F$5)</f>
        <v/>
      </c>
      <c r="H403" s="8">
        <f>RANK(G403,$G$231:$G$451)</f>
        <v/>
      </c>
    </row>
    <row r="404">
      <c r="A404" s="9">
        <f>A179</f>
        <v/>
      </c>
      <c r="B404" s="13">
        <f>(B179-$B$228)/($B$227-$B$228)</f>
        <v/>
      </c>
      <c r="C404" s="13">
        <f>(C179-$C$228)/($C$227-$C$228)</f>
        <v/>
      </c>
      <c r="D404" s="13">
        <f>(D179-$D$228)/($D$227-$D$228)</f>
        <v/>
      </c>
      <c r="E404" s="13">
        <f>(E179-$E$228)/($E$227-$E$228)</f>
        <v/>
      </c>
      <c r="F404" s="13">
        <f>(F179-$F$228)/($F$227-$F$228)</f>
        <v/>
      </c>
      <c r="G404" s="13">
        <f>(B404*$B$5)+(C404*$C$5)+(D404*$D$5)+(E404*$E$5)+(F404*$F$5)</f>
        <v/>
      </c>
      <c r="H404" s="8">
        <f>RANK(G404,$G$231:$G$451)</f>
        <v/>
      </c>
    </row>
    <row r="405">
      <c r="A405" s="9">
        <f>A180</f>
        <v/>
      </c>
      <c r="B405" s="13">
        <f>(B180-$B$228)/($B$227-$B$228)</f>
        <v/>
      </c>
      <c r="C405" s="13">
        <f>(C180-$C$228)/($C$227-$C$228)</f>
        <v/>
      </c>
      <c r="D405" s="13">
        <f>(D180-$D$228)/($D$227-$D$228)</f>
        <v/>
      </c>
      <c r="E405" s="13">
        <f>(E180-$E$228)/($E$227-$E$228)</f>
        <v/>
      </c>
      <c r="F405" s="13">
        <f>(F180-$F$228)/($F$227-$F$228)</f>
        <v/>
      </c>
      <c r="G405" s="13">
        <f>(B405*$B$5)+(C405*$C$5)+(D405*$D$5)+(E405*$E$5)+(F405*$F$5)</f>
        <v/>
      </c>
      <c r="H405" s="8">
        <f>RANK(G405,$G$231:$G$451)</f>
        <v/>
      </c>
    </row>
    <row r="406">
      <c r="A406" s="9">
        <f>A181</f>
        <v/>
      </c>
      <c r="B406" s="13">
        <f>(B181-$B$228)/($B$227-$B$228)</f>
        <v/>
      </c>
      <c r="C406" s="13">
        <f>(C181-$C$228)/($C$227-$C$228)</f>
        <v/>
      </c>
      <c r="D406" s="13">
        <f>(D181-$D$228)/($D$227-$D$228)</f>
        <v/>
      </c>
      <c r="E406" s="13">
        <f>(E181-$E$228)/($E$227-$E$228)</f>
        <v/>
      </c>
      <c r="F406" s="13">
        <f>(F181-$F$228)/($F$227-$F$228)</f>
        <v/>
      </c>
      <c r="G406" s="13">
        <f>(B406*$B$5)+(C406*$C$5)+(D406*$D$5)+(E406*$E$5)+(F406*$F$5)</f>
        <v/>
      </c>
      <c r="H406" s="8">
        <f>RANK(G406,$G$231:$G$451)</f>
        <v/>
      </c>
    </row>
    <row r="407">
      <c r="A407" s="9">
        <f>A182</f>
        <v/>
      </c>
      <c r="B407" s="13">
        <f>(B182-$B$228)/($B$227-$B$228)</f>
        <v/>
      </c>
      <c r="C407" s="13">
        <f>(C182-$C$228)/($C$227-$C$228)</f>
        <v/>
      </c>
      <c r="D407" s="13">
        <f>(D182-$D$228)/($D$227-$D$228)</f>
        <v/>
      </c>
      <c r="E407" s="13">
        <f>(E182-$E$228)/($E$227-$E$228)</f>
        <v/>
      </c>
      <c r="F407" s="13">
        <f>(F182-$F$228)/($F$227-$F$228)</f>
        <v/>
      </c>
      <c r="G407" s="13">
        <f>(B407*$B$5)+(C407*$C$5)+(D407*$D$5)+(E407*$E$5)+(F407*$F$5)</f>
        <v/>
      </c>
      <c r="H407" s="8">
        <f>RANK(G407,$G$231:$G$451)</f>
        <v/>
      </c>
    </row>
    <row r="408">
      <c r="A408" s="9">
        <f>A183</f>
        <v/>
      </c>
      <c r="B408" s="13">
        <f>(B183-$B$228)/($B$227-$B$228)</f>
        <v/>
      </c>
      <c r="C408" s="13">
        <f>(C183-$C$228)/($C$227-$C$228)</f>
        <v/>
      </c>
      <c r="D408" s="13">
        <f>(D183-$D$228)/($D$227-$D$228)</f>
        <v/>
      </c>
      <c r="E408" s="13">
        <f>(E183-$E$228)/($E$227-$E$228)</f>
        <v/>
      </c>
      <c r="F408" s="13">
        <f>(F183-$F$228)/($F$227-$F$228)</f>
        <v/>
      </c>
      <c r="G408" s="13">
        <f>(B408*$B$5)+(C408*$C$5)+(D408*$D$5)+(E408*$E$5)+(F408*$F$5)</f>
        <v/>
      </c>
      <c r="H408" s="8">
        <f>RANK(G408,$G$231:$G$451)</f>
        <v/>
      </c>
    </row>
    <row r="409">
      <c r="A409" s="9">
        <f>A184</f>
        <v/>
      </c>
      <c r="B409" s="13">
        <f>(B184-$B$228)/($B$227-$B$228)</f>
        <v/>
      </c>
      <c r="C409" s="13">
        <f>(C184-$C$228)/($C$227-$C$228)</f>
        <v/>
      </c>
      <c r="D409" s="13">
        <f>(D184-$D$228)/($D$227-$D$228)</f>
        <v/>
      </c>
      <c r="E409" s="13">
        <f>(E184-$E$228)/($E$227-$E$228)</f>
        <v/>
      </c>
      <c r="F409" s="13">
        <f>(F184-$F$228)/($F$227-$F$228)</f>
        <v/>
      </c>
      <c r="G409" s="13">
        <f>(B409*$B$5)+(C409*$C$5)+(D409*$D$5)+(E409*$E$5)+(F409*$F$5)</f>
        <v/>
      </c>
      <c r="H409" s="8">
        <f>RANK(G409,$G$231:$G$451)</f>
        <v/>
      </c>
    </row>
    <row r="410">
      <c r="A410" s="9">
        <f>A185</f>
        <v/>
      </c>
      <c r="B410" s="13">
        <f>(B185-$B$228)/($B$227-$B$228)</f>
        <v/>
      </c>
      <c r="C410" s="13">
        <f>(C185-$C$228)/($C$227-$C$228)</f>
        <v/>
      </c>
      <c r="D410" s="13">
        <f>(D185-$D$228)/($D$227-$D$228)</f>
        <v/>
      </c>
      <c r="E410" s="13">
        <f>(E185-$E$228)/($E$227-$E$228)</f>
        <v/>
      </c>
      <c r="F410" s="13">
        <f>(F185-$F$228)/($F$227-$F$228)</f>
        <v/>
      </c>
      <c r="G410" s="13">
        <f>(B410*$B$5)+(C410*$C$5)+(D410*$D$5)+(E410*$E$5)+(F410*$F$5)</f>
        <v/>
      </c>
      <c r="H410" s="8">
        <f>RANK(G410,$G$231:$G$451)</f>
        <v/>
      </c>
    </row>
    <row r="411">
      <c r="A411" s="9">
        <f>A186</f>
        <v/>
      </c>
      <c r="B411" s="13">
        <f>(B186-$B$228)/($B$227-$B$228)</f>
        <v/>
      </c>
      <c r="C411" s="13">
        <f>(C186-$C$228)/($C$227-$C$228)</f>
        <v/>
      </c>
      <c r="D411" s="13">
        <f>(D186-$D$228)/($D$227-$D$228)</f>
        <v/>
      </c>
      <c r="E411" s="13">
        <f>(E186-$E$228)/($E$227-$E$228)</f>
        <v/>
      </c>
      <c r="F411" s="13">
        <f>(F186-$F$228)/($F$227-$F$228)</f>
        <v/>
      </c>
      <c r="G411" s="13">
        <f>(B411*$B$5)+(C411*$C$5)+(D411*$D$5)+(E411*$E$5)+(F411*$F$5)</f>
        <v/>
      </c>
      <c r="H411" s="8">
        <f>RANK(G411,$G$231:$G$451)</f>
        <v/>
      </c>
    </row>
    <row r="412">
      <c r="A412" s="9">
        <f>A187</f>
        <v/>
      </c>
      <c r="B412" s="13">
        <f>(B187-$B$228)/($B$227-$B$228)</f>
        <v/>
      </c>
      <c r="C412" s="13">
        <f>(C187-$C$228)/($C$227-$C$228)</f>
        <v/>
      </c>
      <c r="D412" s="13">
        <f>(D187-$D$228)/($D$227-$D$228)</f>
        <v/>
      </c>
      <c r="E412" s="13">
        <f>(E187-$E$228)/($E$227-$E$228)</f>
        <v/>
      </c>
      <c r="F412" s="13">
        <f>(F187-$F$228)/($F$227-$F$228)</f>
        <v/>
      </c>
      <c r="G412" s="13">
        <f>(B412*$B$5)+(C412*$C$5)+(D412*$D$5)+(E412*$E$5)+(F412*$F$5)</f>
        <v/>
      </c>
      <c r="H412" s="8">
        <f>RANK(G412,$G$231:$G$451)</f>
        <v/>
      </c>
    </row>
    <row r="413">
      <c r="A413" s="9">
        <f>A188</f>
        <v/>
      </c>
      <c r="B413" s="13">
        <f>(B188-$B$228)/($B$227-$B$228)</f>
        <v/>
      </c>
      <c r="C413" s="13">
        <f>(C188-$C$228)/($C$227-$C$228)</f>
        <v/>
      </c>
      <c r="D413" s="13">
        <f>(D188-$D$228)/($D$227-$D$228)</f>
        <v/>
      </c>
      <c r="E413" s="13">
        <f>(E188-$E$228)/($E$227-$E$228)</f>
        <v/>
      </c>
      <c r="F413" s="13">
        <f>(F188-$F$228)/($F$227-$F$228)</f>
        <v/>
      </c>
      <c r="G413" s="13">
        <f>(B413*$B$5)+(C413*$C$5)+(D413*$D$5)+(E413*$E$5)+(F413*$F$5)</f>
        <v/>
      </c>
      <c r="H413" s="8">
        <f>RANK(G413,$G$231:$G$451)</f>
        <v/>
      </c>
    </row>
    <row r="414">
      <c r="A414" s="9">
        <f>A189</f>
        <v/>
      </c>
      <c r="B414" s="13">
        <f>(B189-$B$228)/($B$227-$B$228)</f>
        <v/>
      </c>
      <c r="C414" s="13">
        <f>(C189-$C$228)/($C$227-$C$228)</f>
        <v/>
      </c>
      <c r="D414" s="13">
        <f>(D189-$D$228)/($D$227-$D$228)</f>
        <v/>
      </c>
      <c r="E414" s="13">
        <f>(E189-$E$228)/($E$227-$E$228)</f>
        <v/>
      </c>
      <c r="F414" s="13">
        <f>(F189-$F$228)/($F$227-$F$228)</f>
        <v/>
      </c>
      <c r="G414" s="13">
        <f>(B414*$B$5)+(C414*$C$5)+(D414*$D$5)+(E414*$E$5)+(F414*$F$5)</f>
        <v/>
      </c>
      <c r="H414" s="8">
        <f>RANK(G414,$G$231:$G$451)</f>
        <v/>
      </c>
    </row>
    <row r="415">
      <c r="A415" s="9">
        <f>A190</f>
        <v/>
      </c>
      <c r="B415" s="13">
        <f>(B190-$B$228)/($B$227-$B$228)</f>
        <v/>
      </c>
      <c r="C415" s="13">
        <f>(C190-$C$228)/($C$227-$C$228)</f>
        <v/>
      </c>
      <c r="D415" s="13">
        <f>(D190-$D$228)/($D$227-$D$228)</f>
        <v/>
      </c>
      <c r="E415" s="13">
        <f>(E190-$E$228)/($E$227-$E$228)</f>
        <v/>
      </c>
      <c r="F415" s="13">
        <f>(F190-$F$228)/($F$227-$F$228)</f>
        <v/>
      </c>
      <c r="G415" s="13">
        <f>(B415*$B$5)+(C415*$C$5)+(D415*$D$5)+(E415*$E$5)+(F415*$F$5)</f>
        <v/>
      </c>
      <c r="H415" s="8">
        <f>RANK(G415,$G$231:$G$451)</f>
        <v/>
      </c>
    </row>
    <row r="416">
      <c r="A416" s="9">
        <f>A191</f>
        <v/>
      </c>
      <c r="B416" s="13">
        <f>(B191-$B$228)/($B$227-$B$228)</f>
        <v/>
      </c>
      <c r="C416" s="13">
        <f>(C191-$C$228)/($C$227-$C$228)</f>
        <v/>
      </c>
      <c r="D416" s="13">
        <f>(D191-$D$228)/($D$227-$D$228)</f>
        <v/>
      </c>
      <c r="E416" s="13">
        <f>(E191-$E$228)/($E$227-$E$228)</f>
        <v/>
      </c>
      <c r="F416" s="13">
        <f>(F191-$F$228)/($F$227-$F$228)</f>
        <v/>
      </c>
      <c r="G416" s="13">
        <f>(B416*$B$5)+(C416*$C$5)+(D416*$D$5)+(E416*$E$5)+(F416*$F$5)</f>
        <v/>
      </c>
      <c r="H416" s="8">
        <f>RANK(G416,$G$231:$G$451)</f>
        <v/>
      </c>
    </row>
    <row r="417">
      <c r="A417" s="9">
        <f>A192</f>
        <v/>
      </c>
      <c r="B417" s="13">
        <f>(B192-$B$228)/($B$227-$B$228)</f>
        <v/>
      </c>
      <c r="C417" s="13">
        <f>(C192-$C$228)/($C$227-$C$228)</f>
        <v/>
      </c>
      <c r="D417" s="13">
        <f>(D192-$D$228)/($D$227-$D$228)</f>
        <v/>
      </c>
      <c r="E417" s="13">
        <f>(E192-$E$228)/($E$227-$E$228)</f>
        <v/>
      </c>
      <c r="F417" s="13">
        <f>(F192-$F$228)/($F$227-$F$228)</f>
        <v/>
      </c>
      <c r="G417" s="13">
        <f>(B417*$B$5)+(C417*$C$5)+(D417*$D$5)+(E417*$E$5)+(F417*$F$5)</f>
        <v/>
      </c>
      <c r="H417" s="8">
        <f>RANK(G417,$G$231:$G$451)</f>
        <v/>
      </c>
    </row>
    <row r="418">
      <c r="A418" s="9">
        <f>A193</f>
        <v/>
      </c>
      <c r="B418" s="13">
        <f>(B193-$B$228)/($B$227-$B$228)</f>
        <v/>
      </c>
      <c r="C418" s="13">
        <f>(C193-$C$228)/($C$227-$C$228)</f>
        <v/>
      </c>
      <c r="D418" s="13">
        <f>(D193-$D$228)/($D$227-$D$228)</f>
        <v/>
      </c>
      <c r="E418" s="13">
        <f>(E193-$E$228)/($E$227-$E$228)</f>
        <v/>
      </c>
      <c r="F418" s="13">
        <f>(F193-$F$228)/($F$227-$F$228)</f>
        <v/>
      </c>
      <c r="G418" s="13">
        <f>(B418*$B$5)+(C418*$C$5)+(D418*$D$5)+(E418*$E$5)+(F418*$F$5)</f>
        <v/>
      </c>
      <c r="H418" s="8">
        <f>RANK(G418,$G$231:$G$451)</f>
        <v/>
      </c>
    </row>
    <row r="419">
      <c r="A419" s="9">
        <f>A194</f>
        <v/>
      </c>
      <c r="B419" s="13">
        <f>(B194-$B$228)/($B$227-$B$228)</f>
        <v/>
      </c>
      <c r="C419" s="13">
        <f>(C194-$C$228)/($C$227-$C$228)</f>
        <v/>
      </c>
      <c r="D419" s="13">
        <f>(D194-$D$228)/($D$227-$D$228)</f>
        <v/>
      </c>
      <c r="E419" s="13">
        <f>(E194-$E$228)/($E$227-$E$228)</f>
        <v/>
      </c>
      <c r="F419" s="13">
        <f>(F194-$F$228)/($F$227-$F$228)</f>
        <v/>
      </c>
      <c r="G419" s="13">
        <f>(B419*$B$5)+(C419*$C$5)+(D419*$D$5)+(E419*$E$5)+(F419*$F$5)</f>
        <v/>
      </c>
      <c r="H419" s="8">
        <f>RANK(G419,$G$231:$G$451)</f>
        <v/>
      </c>
    </row>
    <row r="420">
      <c r="A420" s="9">
        <f>A195</f>
        <v/>
      </c>
      <c r="B420" s="13">
        <f>(B195-$B$228)/($B$227-$B$228)</f>
        <v/>
      </c>
      <c r="C420" s="13">
        <f>(C195-$C$228)/($C$227-$C$228)</f>
        <v/>
      </c>
      <c r="D420" s="13">
        <f>(D195-$D$228)/($D$227-$D$228)</f>
        <v/>
      </c>
      <c r="E420" s="13">
        <f>(E195-$E$228)/($E$227-$E$228)</f>
        <v/>
      </c>
      <c r="F420" s="13">
        <f>(F195-$F$228)/($F$227-$F$228)</f>
        <v/>
      </c>
      <c r="G420" s="13">
        <f>(B420*$B$5)+(C420*$C$5)+(D420*$D$5)+(E420*$E$5)+(F420*$F$5)</f>
        <v/>
      </c>
      <c r="H420" s="8">
        <f>RANK(G420,$G$231:$G$451)</f>
        <v/>
      </c>
    </row>
    <row r="421">
      <c r="A421" s="9">
        <f>A196</f>
        <v/>
      </c>
      <c r="B421" s="13">
        <f>(B196-$B$228)/($B$227-$B$228)</f>
        <v/>
      </c>
      <c r="C421" s="13">
        <f>(C196-$C$228)/($C$227-$C$228)</f>
        <v/>
      </c>
      <c r="D421" s="13">
        <f>(D196-$D$228)/($D$227-$D$228)</f>
        <v/>
      </c>
      <c r="E421" s="13">
        <f>(E196-$E$228)/($E$227-$E$228)</f>
        <v/>
      </c>
      <c r="F421" s="13">
        <f>(F196-$F$228)/($F$227-$F$228)</f>
        <v/>
      </c>
      <c r="G421" s="13">
        <f>(B421*$B$5)+(C421*$C$5)+(D421*$D$5)+(E421*$E$5)+(F421*$F$5)</f>
        <v/>
      </c>
      <c r="H421" s="8">
        <f>RANK(G421,$G$231:$G$451)</f>
        <v/>
      </c>
    </row>
    <row r="422">
      <c r="A422" s="9">
        <f>A197</f>
        <v/>
      </c>
      <c r="B422" s="13">
        <f>(B197-$B$228)/($B$227-$B$228)</f>
        <v/>
      </c>
      <c r="C422" s="13">
        <f>(C197-$C$228)/($C$227-$C$228)</f>
        <v/>
      </c>
      <c r="D422" s="13">
        <f>(D197-$D$228)/($D$227-$D$228)</f>
        <v/>
      </c>
      <c r="E422" s="13">
        <f>(E197-$E$228)/($E$227-$E$228)</f>
        <v/>
      </c>
      <c r="F422" s="13">
        <f>(F197-$F$228)/($F$227-$F$228)</f>
        <v/>
      </c>
      <c r="G422" s="13">
        <f>(B422*$B$5)+(C422*$C$5)+(D422*$D$5)+(E422*$E$5)+(F422*$F$5)</f>
        <v/>
      </c>
      <c r="H422" s="8">
        <f>RANK(G422,$G$231:$G$451)</f>
        <v/>
      </c>
    </row>
    <row r="423">
      <c r="A423" s="9">
        <f>A198</f>
        <v/>
      </c>
      <c r="B423" s="13">
        <f>(B198-$B$228)/($B$227-$B$228)</f>
        <v/>
      </c>
      <c r="C423" s="13">
        <f>(C198-$C$228)/($C$227-$C$228)</f>
        <v/>
      </c>
      <c r="D423" s="13">
        <f>(D198-$D$228)/($D$227-$D$228)</f>
        <v/>
      </c>
      <c r="E423" s="13">
        <f>(E198-$E$228)/($E$227-$E$228)</f>
        <v/>
      </c>
      <c r="F423" s="13">
        <f>(F198-$F$228)/($F$227-$F$228)</f>
        <v/>
      </c>
      <c r="G423" s="13">
        <f>(B423*$B$5)+(C423*$C$5)+(D423*$D$5)+(E423*$E$5)+(F423*$F$5)</f>
        <v/>
      </c>
      <c r="H423" s="8">
        <f>RANK(G423,$G$231:$G$451)</f>
        <v/>
      </c>
    </row>
    <row r="424">
      <c r="A424" s="9">
        <f>A199</f>
        <v/>
      </c>
      <c r="B424" s="13">
        <f>(B199-$B$228)/($B$227-$B$228)</f>
        <v/>
      </c>
      <c r="C424" s="13">
        <f>(C199-$C$228)/($C$227-$C$228)</f>
        <v/>
      </c>
      <c r="D424" s="13">
        <f>(D199-$D$228)/($D$227-$D$228)</f>
        <v/>
      </c>
      <c r="E424" s="13">
        <f>(E199-$E$228)/($E$227-$E$228)</f>
        <v/>
      </c>
      <c r="F424" s="13">
        <f>(F199-$F$228)/($F$227-$F$228)</f>
        <v/>
      </c>
      <c r="G424" s="13">
        <f>(B424*$B$5)+(C424*$C$5)+(D424*$D$5)+(E424*$E$5)+(F424*$F$5)</f>
        <v/>
      </c>
      <c r="H424" s="8">
        <f>RANK(G424,$G$231:$G$451)</f>
        <v/>
      </c>
    </row>
    <row r="425">
      <c r="A425" s="9">
        <f>A200</f>
        <v/>
      </c>
      <c r="B425" s="13">
        <f>(B200-$B$228)/($B$227-$B$228)</f>
        <v/>
      </c>
      <c r="C425" s="13">
        <f>(C200-$C$228)/($C$227-$C$228)</f>
        <v/>
      </c>
      <c r="D425" s="13">
        <f>(D200-$D$228)/($D$227-$D$228)</f>
        <v/>
      </c>
      <c r="E425" s="13">
        <f>(E200-$E$228)/($E$227-$E$228)</f>
        <v/>
      </c>
      <c r="F425" s="13">
        <f>(F200-$F$228)/($F$227-$F$228)</f>
        <v/>
      </c>
      <c r="G425" s="13">
        <f>(B425*$B$5)+(C425*$C$5)+(D425*$D$5)+(E425*$E$5)+(F425*$F$5)</f>
        <v/>
      </c>
      <c r="H425" s="8">
        <f>RANK(G425,$G$231:$G$451)</f>
        <v/>
      </c>
    </row>
    <row r="426">
      <c r="A426" s="9">
        <f>A201</f>
        <v/>
      </c>
      <c r="B426" s="13">
        <f>(B201-$B$228)/($B$227-$B$228)</f>
        <v/>
      </c>
      <c r="C426" s="13">
        <f>(C201-$C$228)/($C$227-$C$228)</f>
        <v/>
      </c>
      <c r="D426" s="13">
        <f>(D201-$D$228)/($D$227-$D$228)</f>
        <v/>
      </c>
      <c r="E426" s="13">
        <f>(E201-$E$228)/($E$227-$E$228)</f>
        <v/>
      </c>
      <c r="F426" s="13">
        <f>(F201-$F$228)/($F$227-$F$228)</f>
        <v/>
      </c>
      <c r="G426" s="13">
        <f>(B426*$B$5)+(C426*$C$5)+(D426*$D$5)+(E426*$E$5)+(F426*$F$5)</f>
        <v/>
      </c>
      <c r="H426" s="8">
        <f>RANK(G426,$G$231:$G$451)</f>
        <v/>
      </c>
    </row>
    <row r="427">
      <c r="A427" s="9">
        <f>A202</f>
        <v/>
      </c>
      <c r="B427" s="13">
        <f>(B202-$B$228)/($B$227-$B$228)</f>
        <v/>
      </c>
      <c r="C427" s="13">
        <f>(C202-$C$228)/($C$227-$C$228)</f>
        <v/>
      </c>
      <c r="D427" s="13">
        <f>(D202-$D$228)/($D$227-$D$228)</f>
        <v/>
      </c>
      <c r="E427" s="13">
        <f>(E202-$E$228)/($E$227-$E$228)</f>
        <v/>
      </c>
      <c r="F427" s="13">
        <f>(F202-$F$228)/($F$227-$F$228)</f>
        <v/>
      </c>
      <c r="G427" s="13">
        <f>(B427*$B$5)+(C427*$C$5)+(D427*$D$5)+(E427*$E$5)+(F427*$F$5)</f>
        <v/>
      </c>
      <c r="H427" s="8">
        <f>RANK(G427,$G$231:$G$451)</f>
        <v/>
      </c>
    </row>
    <row r="428">
      <c r="A428" s="9">
        <f>A203</f>
        <v/>
      </c>
      <c r="B428" s="13">
        <f>(B203-$B$228)/($B$227-$B$228)</f>
        <v/>
      </c>
      <c r="C428" s="13">
        <f>(C203-$C$228)/($C$227-$C$228)</f>
        <v/>
      </c>
      <c r="D428" s="13">
        <f>(D203-$D$228)/($D$227-$D$228)</f>
        <v/>
      </c>
      <c r="E428" s="13">
        <f>(E203-$E$228)/($E$227-$E$228)</f>
        <v/>
      </c>
      <c r="F428" s="13">
        <f>(F203-$F$228)/($F$227-$F$228)</f>
        <v/>
      </c>
      <c r="G428" s="13">
        <f>(B428*$B$5)+(C428*$C$5)+(D428*$D$5)+(E428*$E$5)+(F428*$F$5)</f>
        <v/>
      </c>
      <c r="H428" s="8">
        <f>RANK(G428,$G$231:$G$451)</f>
        <v/>
      </c>
    </row>
    <row r="429">
      <c r="A429" s="9">
        <f>A204</f>
        <v/>
      </c>
      <c r="B429" s="13">
        <f>(B204-$B$228)/($B$227-$B$228)</f>
        <v/>
      </c>
      <c r="C429" s="13">
        <f>(C204-$C$228)/($C$227-$C$228)</f>
        <v/>
      </c>
      <c r="D429" s="13">
        <f>(D204-$D$228)/($D$227-$D$228)</f>
        <v/>
      </c>
      <c r="E429" s="13">
        <f>(E204-$E$228)/($E$227-$E$228)</f>
        <v/>
      </c>
      <c r="F429" s="13">
        <f>(F204-$F$228)/($F$227-$F$228)</f>
        <v/>
      </c>
      <c r="G429" s="13">
        <f>(B429*$B$5)+(C429*$C$5)+(D429*$D$5)+(E429*$E$5)+(F429*$F$5)</f>
        <v/>
      </c>
      <c r="H429" s="8">
        <f>RANK(G429,$G$231:$G$451)</f>
        <v/>
      </c>
    </row>
    <row r="430">
      <c r="A430" s="9">
        <f>A205</f>
        <v/>
      </c>
      <c r="B430" s="13">
        <f>(B205-$B$228)/($B$227-$B$228)</f>
        <v/>
      </c>
      <c r="C430" s="13">
        <f>(C205-$C$228)/($C$227-$C$228)</f>
        <v/>
      </c>
      <c r="D430" s="13">
        <f>(D205-$D$228)/($D$227-$D$228)</f>
        <v/>
      </c>
      <c r="E430" s="13">
        <f>(E205-$E$228)/($E$227-$E$228)</f>
        <v/>
      </c>
      <c r="F430" s="13">
        <f>(F205-$F$228)/($F$227-$F$228)</f>
        <v/>
      </c>
      <c r="G430" s="13">
        <f>(B430*$B$5)+(C430*$C$5)+(D430*$D$5)+(E430*$E$5)+(F430*$F$5)</f>
        <v/>
      </c>
      <c r="H430" s="8">
        <f>RANK(G430,$G$231:$G$451)</f>
        <v/>
      </c>
    </row>
    <row r="431">
      <c r="A431" s="9">
        <f>A206</f>
        <v/>
      </c>
      <c r="B431" s="13">
        <f>(B206-$B$228)/($B$227-$B$228)</f>
        <v/>
      </c>
      <c r="C431" s="13">
        <f>(C206-$C$228)/($C$227-$C$228)</f>
        <v/>
      </c>
      <c r="D431" s="13">
        <f>(D206-$D$228)/($D$227-$D$228)</f>
        <v/>
      </c>
      <c r="E431" s="13">
        <f>(E206-$E$228)/($E$227-$E$228)</f>
        <v/>
      </c>
      <c r="F431" s="13">
        <f>(F206-$F$228)/($F$227-$F$228)</f>
        <v/>
      </c>
      <c r="G431" s="13">
        <f>(B431*$B$5)+(C431*$C$5)+(D431*$D$5)+(E431*$E$5)+(F431*$F$5)</f>
        <v/>
      </c>
      <c r="H431" s="8">
        <f>RANK(G431,$G$231:$G$451)</f>
        <v/>
      </c>
    </row>
    <row r="432">
      <c r="A432" s="9">
        <f>A207</f>
        <v/>
      </c>
      <c r="B432" s="13">
        <f>(B207-$B$228)/($B$227-$B$228)</f>
        <v/>
      </c>
      <c r="C432" s="13">
        <f>(C207-$C$228)/($C$227-$C$228)</f>
        <v/>
      </c>
      <c r="D432" s="13">
        <f>(D207-$D$228)/($D$227-$D$228)</f>
        <v/>
      </c>
      <c r="E432" s="13">
        <f>(E207-$E$228)/($E$227-$E$228)</f>
        <v/>
      </c>
      <c r="F432" s="13">
        <f>(F207-$F$228)/($F$227-$F$228)</f>
        <v/>
      </c>
      <c r="G432" s="13">
        <f>(B432*$B$5)+(C432*$C$5)+(D432*$D$5)+(E432*$E$5)+(F432*$F$5)</f>
        <v/>
      </c>
      <c r="H432" s="8">
        <f>RANK(G432,$G$231:$G$451)</f>
        <v/>
      </c>
    </row>
    <row r="433">
      <c r="A433" s="9">
        <f>A208</f>
        <v/>
      </c>
      <c r="B433" s="13">
        <f>(B208-$B$228)/($B$227-$B$228)</f>
        <v/>
      </c>
      <c r="C433" s="13">
        <f>(C208-$C$228)/($C$227-$C$228)</f>
        <v/>
      </c>
      <c r="D433" s="13">
        <f>(D208-$D$228)/($D$227-$D$228)</f>
        <v/>
      </c>
      <c r="E433" s="13">
        <f>(E208-$E$228)/($E$227-$E$228)</f>
        <v/>
      </c>
      <c r="F433" s="13">
        <f>(F208-$F$228)/($F$227-$F$228)</f>
        <v/>
      </c>
      <c r="G433" s="13">
        <f>(B433*$B$5)+(C433*$C$5)+(D433*$D$5)+(E433*$E$5)+(F433*$F$5)</f>
        <v/>
      </c>
      <c r="H433" s="8">
        <f>RANK(G433,$G$231:$G$451)</f>
        <v/>
      </c>
    </row>
    <row r="434">
      <c r="A434" s="9">
        <f>A209</f>
        <v/>
      </c>
      <c r="B434" s="13">
        <f>(B209-$B$228)/($B$227-$B$228)</f>
        <v/>
      </c>
      <c r="C434" s="13">
        <f>(C209-$C$228)/($C$227-$C$228)</f>
        <v/>
      </c>
      <c r="D434" s="13">
        <f>(D209-$D$228)/($D$227-$D$228)</f>
        <v/>
      </c>
      <c r="E434" s="13">
        <f>(E209-$E$228)/($E$227-$E$228)</f>
        <v/>
      </c>
      <c r="F434" s="13">
        <f>(F209-$F$228)/($F$227-$F$228)</f>
        <v/>
      </c>
      <c r="G434" s="13">
        <f>(B434*$B$5)+(C434*$C$5)+(D434*$D$5)+(E434*$E$5)+(F434*$F$5)</f>
        <v/>
      </c>
      <c r="H434" s="8">
        <f>RANK(G434,$G$231:$G$451)</f>
        <v/>
      </c>
    </row>
    <row r="435">
      <c r="A435" s="9">
        <f>A210</f>
        <v/>
      </c>
      <c r="B435" s="13">
        <f>(B210-$B$228)/($B$227-$B$228)</f>
        <v/>
      </c>
      <c r="C435" s="13">
        <f>(C210-$C$228)/($C$227-$C$228)</f>
        <v/>
      </c>
      <c r="D435" s="13">
        <f>(D210-$D$228)/($D$227-$D$228)</f>
        <v/>
      </c>
      <c r="E435" s="13">
        <f>(E210-$E$228)/($E$227-$E$228)</f>
        <v/>
      </c>
      <c r="F435" s="13">
        <f>(F210-$F$228)/($F$227-$F$228)</f>
        <v/>
      </c>
      <c r="G435" s="13">
        <f>(B435*$B$5)+(C435*$C$5)+(D435*$D$5)+(E435*$E$5)+(F435*$F$5)</f>
        <v/>
      </c>
      <c r="H435" s="8">
        <f>RANK(G435,$G$231:$G$451)</f>
        <v/>
      </c>
    </row>
    <row r="436">
      <c r="A436" s="9">
        <f>A211</f>
        <v/>
      </c>
      <c r="B436" s="13">
        <f>(B211-$B$228)/($B$227-$B$228)</f>
        <v/>
      </c>
      <c r="C436" s="13">
        <f>(C211-$C$228)/($C$227-$C$228)</f>
        <v/>
      </c>
      <c r="D436" s="13">
        <f>(D211-$D$228)/($D$227-$D$228)</f>
        <v/>
      </c>
      <c r="E436" s="13">
        <f>(E211-$E$228)/($E$227-$E$228)</f>
        <v/>
      </c>
      <c r="F436" s="13">
        <f>(F211-$F$228)/($F$227-$F$228)</f>
        <v/>
      </c>
      <c r="G436" s="13">
        <f>(B436*$B$5)+(C436*$C$5)+(D436*$D$5)+(E436*$E$5)+(F436*$F$5)</f>
        <v/>
      </c>
      <c r="H436" s="8">
        <f>RANK(G436,$G$231:$G$451)</f>
        <v/>
      </c>
    </row>
    <row r="437">
      <c r="A437" s="9">
        <f>A212</f>
        <v/>
      </c>
      <c r="B437" s="13">
        <f>(B212-$B$228)/($B$227-$B$228)</f>
        <v/>
      </c>
      <c r="C437" s="13">
        <f>(C212-$C$228)/($C$227-$C$228)</f>
        <v/>
      </c>
      <c r="D437" s="13">
        <f>(D212-$D$228)/($D$227-$D$228)</f>
        <v/>
      </c>
      <c r="E437" s="13">
        <f>(E212-$E$228)/($E$227-$E$228)</f>
        <v/>
      </c>
      <c r="F437" s="13">
        <f>(F212-$F$228)/($F$227-$F$228)</f>
        <v/>
      </c>
      <c r="G437" s="13">
        <f>(B437*$B$5)+(C437*$C$5)+(D437*$D$5)+(E437*$E$5)+(F437*$F$5)</f>
        <v/>
      </c>
      <c r="H437" s="8">
        <f>RANK(G437,$G$231:$G$451)</f>
        <v/>
      </c>
    </row>
    <row r="438">
      <c r="A438" s="9">
        <f>A213</f>
        <v/>
      </c>
      <c r="B438" s="13">
        <f>(B213-$B$228)/($B$227-$B$228)</f>
        <v/>
      </c>
      <c r="C438" s="13">
        <f>(C213-$C$228)/($C$227-$C$228)</f>
        <v/>
      </c>
      <c r="D438" s="13">
        <f>(D213-$D$228)/($D$227-$D$228)</f>
        <v/>
      </c>
      <c r="E438" s="13">
        <f>(E213-$E$228)/($E$227-$E$228)</f>
        <v/>
      </c>
      <c r="F438" s="13">
        <f>(F213-$F$228)/($F$227-$F$228)</f>
        <v/>
      </c>
      <c r="G438" s="13">
        <f>(B438*$B$5)+(C438*$C$5)+(D438*$D$5)+(E438*$E$5)+(F438*$F$5)</f>
        <v/>
      </c>
      <c r="H438" s="8">
        <f>RANK(G438,$G$231:$G$451)</f>
        <v/>
      </c>
    </row>
    <row r="439">
      <c r="A439" s="9">
        <f>A214</f>
        <v/>
      </c>
      <c r="B439" s="13">
        <f>(B214-$B$228)/($B$227-$B$228)</f>
        <v/>
      </c>
      <c r="C439" s="13">
        <f>(C214-$C$228)/($C$227-$C$228)</f>
        <v/>
      </c>
      <c r="D439" s="13">
        <f>(D214-$D$228)/($D$227-$D$228)</f>
        <v/>
      </c>
      <c r="E439" s="13">
        <f>(E214-$E$228)/($E$227-$E$228)</f>
        <v/>
      </c>
      <c r="F439" s="13">
        <f>(F214-$F$228)/($F$227-$F$228)</f>
        <v/>
      </c>
      <c r="G439" s="13">
        <f>(B439*$B$5)+(C439*$C$5)+(D439*$D$5)+(E439*$E$5)+(F439*$F$5)</f>
        <v/>
      </c>
      <c r="H439" s="8">
        <f>RANK(G439,$G$231:$G$451)</f>
        <v/>
      </c>
    </row>
    <row r="440">
      <c r="A440" s="9">
        <f>A215</f>
        <v/>
      </c>
      <c r="B440" s="13">
        <f>(B215-$B$228)/($B$227-$B$228)</f>
        <v/>
      </c>
      <c r="C440" s="13">
        <f>(C215-$C$228)/($C$227-$C$228)</f>
        <v/>
      </c>
      <c r="D440" s="13">
        <f>(D215-$D$228)/($D$227-$D$228)</f>
        <v/>
      </c>
      <c r="E440" s="13">
        <f>(E215-$E$228)/($E$227-$E$228)</f>
        <v/>
      </c>
      <c r="F440" s="13">
        <f>(F215-$F$228)/($F$227-$F$228)</f>
        <v/>
      </c>
      <c r="G440" s="13">
        <f>(B440*$B$5)+(C440*$C$5)+(D440*$D$5)+(E440*$E$5)+(F440*$F$5)</f>
        <v/>
      </c>
      <c r="H440" s="8">
        <f>RANK(G440,$G$231:$G$451)</f>
        <v/>
      </c>
    </row>
    <row r="441">
      <c r="A441" s="9">
        <f>A216</f>
        <v/>
      </c>
      <c r="B441" s="13">
        <f>(B216-$B$228)/($B$227-$B$228)</f>
        <v/>
      </c>
      <c r="C441" s="13">
        <f>(C216-$C$228)/($C$227-$C$228)</f>
        <v/>
      </c>
      <c r="D441" s="13">
        <f>(D216-$D$228)/($D$227-$D$228)</f>
        <v/>
      </c>
      <c r="E441" s="13">
        <f>(E216-$E$228)/($E$227-$E$228)</f>
        <v/>
      </c>
      <c r="F441" s="13">
        <f>(F216-$F$228)/($F$227-$F$228)</f>
        <v/>
      </c>
      <c r="G441" s="13">
        <f>(B441*$B$5)+(C441*$C$5)+(D441*$D$5)+(E441*$E$5)+(F441*$F$5)</f>
        <v/>
      </c>
      <c r="H441" s="8">
        <f>RANK(G441,$G$231:$G$451)</f>
        <v/>
      </c>
    </row>
    <row r="442">
      <c r="A442" s="9">
        <f>A217</f>
        <v/>
      </c>
      <c r="B442" s="13">
        <f>(B217-$B$228)/($B$227-$B$228)</f>
        <v/>
      </c>
      <c r="C442" s="13">
        <f>(C217-$C$228)/($C$227-$C$228)</f>
        <v/>
      </c>
      <c r="D442" s="13">
        <f>(D217-$D$228)/($D$227-$D$228)</f>
        <v/>
      </c>
      <c r="E442" s="13">
        <f>(E217-$E$228)/($E$227-$E$228)</f>
        <v/>
      </c>
      <c r="F442" s="13">
        <f>(F217-$F$228)/($F$227-$F$228)</f>
        <v/>
      </c>
      <c r="G442" s="13">
        <f>(B442*$B$5)+(C442*$C$5)+(D442*$D$5)+(E442*$E$5)+(F442*$F$5)</f>
        <v/>
      </c>
      <c r="H442" s="8">
        <f>RANK(G442,$G$231:$G$451)</f>
        <v/>
      </c>
    </row>
    <row r="443">
      <c r="A443" s="9">
        <f>A218</f>
        <v/>
      </c>
      <c r="B443" s="13">
        <f>(B218-$B$228)/($B$227-$B$228)</f>
        <v/>
      </c>
      <c r="C443" s="13">
        <f>(C218-$C$228)/($C$227-$C$228)</f>
        <v/>
      </c>
      <c r="D443" s="13">
        <f>(D218-$D$228)/($D$227-$D$228)</f>
        <v/>
      </c>
      <c r="E443" s="13">
        <f>(E218-$E$228)/($E$227-$E$228)</f>
        <v/>
      </c>
      <c r="F443" s="13">
        <f>(F218-$F$228)/($F$227-$F$228)</f>
        <v/>
      </c>
      <c r="G443" s="13">
        <f>(B443*$B$5)+(C443*$C$5)+(D443*$D$5)+(E443*$E$5)+(F443*$F$5)</f>
        <v/>
      </c>
      <c r="H443" s="8">
        <f>RANK(G443,$G$231:$G$451)</f>
        <v/>
      </c>
    </row>
    <row r="444">
      <c r="A444" s="9">
        <f>A219</f>
        <v/>
      </c>
      <c r="B444" s="13">
        <f>(B219-$B$228)/($B$227-$B$228)</f>
        <v/>
      </c>
      <c r="C444" s="13">
        <f>(C219-$C$228)/($C$227-$C$228)</f>
        <v/>
      </c>
      <c r="D444" s="13">
        <f>(D219-$D$228)/($D$227-$D$228)</f>
        <v/>
      </c>
      <c r="E444" s="13">
        <f>(E219-$E$228)/($E$227-$E$228)</f>
        <v/>
      </c>
      <c r="F444" s="13">
        <f>(F219-$F$228)/($F$227-$F$228)</f>
        <v/>
      </c>
      <c r="G444" s="13">
        <f>(B444*$B$5)+(C444*$C$5)+(D444*$D$5)+(E444*$E$5)+(F444*$F$5)</f>
        <v/>
      </c>
      <c r="H444" s="8">
        <f>RANK(G444,$G$231:$G$451)</f>
        <v/>
      </c>
    </row>
    <row r="445">
      <c r="A445" s="9">
        <f>A220</f>
        <v/>
      </c>
      <c r="B445" s="13">
        <f>(B220-$B$228)/($B$227-$B$228)</f>
        <v/>
      </c>
      <c r="C445" s="13">
        <f>(C220-$C$228)/($C$227-$C$228)</f>
        <v/>
      </c>
      <c r="D445" s="13">
        <f>(D220-$D$228)/($D$227-$D$228)</f>
        <v/>
      </c>
      <c r="E445" s="13">
        <f>(E220-$E$228)/($E$227-$E$228)</f>
        <v/>
      </c>
      <c r="F445" s="13">
        <f>(F220-$F$228)/($F$227-$F$228)</f>
        <v/>
      </c>
      <c r="G445" s="13">
        <f>(B445*$B$5)+(C445*$C$5)+(D445*$D$5)+(E445*$E$5)+(F445*$F$5)</f>
        <v/>
      </c>
      <c r="H445" s="8">
        <f>RANK(G445,$G$231:$G$451)</f>
        <v/>
      </c>
    </row>
    <row r="446">
      <c r="A446" s="9">
        <f>A221</f>
        <v/>
      </c>
      <c r="B446" s="13">
        <f>(B221-$B$228)/($B$227-$B$228)</f>
        <v/>
      </c>
      <c r="C446" s="13">
        <f>(C221-$C$228)/($C$227-$C$228)</f>
        <v/>
      </c>
      <c r="D446" s="13">
        <f>(D221-$D$228)/($D$227-$D$228)</f>
        <v/>
      </c>
      <c r="E446" s="13">
        <f>(E221-$E$228)/($E$227-$E$228)</f>
        <v/>
      </c>
      <c r="F446" s="13">
        <f>(F221-$F$228)/($F$227-$F$228)</f>
        <v/>
      </c>
      <c r="G446" s="13">
        <f>(B446*$B$5)+(C446*$C$5)+(D446*$D$5)+(E446*$E$5)+(F446*$F$5)</f>
        <v/>
      </c>
      <c r="H446" s="8">
        <f>RANK(G446,$G$231:$G$451)</f>
        <v/>
      </c>
    </row>
    <row r="447">
      <c r="A447" s="9">
        <f>A222</f>
        <v/>
      </c>
      <c r="B447" s="13">
        <f>(B222-$B$228)/($B$227-$B$228)</f>
        <v/>
      </c>
      <c r="C447" s="13">
        <f>(C222-$C$228)/($C$227-$C$228)</f>
        <v/>
      </c>
      <c r="D447" s="13">
        <f>(D222-$D$228)/($D$227-$D$228)</f>
        <v/>
      </c>
      <c r="E447" s="13">
        <f>(E222-$E$228)/($E$227-$E$228)</f>
        <v/>
      </c>
      <c r="F447" s="13">
        <f>(F222-$F$228)/($F$227-$F$228)</f>
        <v/>
      </c>
      <c r="G447" s="13">
        <f>(B447*$B$5)+(C447*$C$5)+(D447*$D$5)+(E447*$E$5)+(F447*$F$5)</f>
        <v/>
      </c>
      <c r="H447" s="8">
        <f>RANK(G447,$G$231:$G$451)</f>
        <v/>
      </c>
    </row>
    <row r="448">
      <c r="A448" s="9">
        <f>A223</f>
        <v/>
      </c>
      <c r="B448" s="13">
        <f>(B223-$B$228)/($B$227-$B$228)</f>
        <v/>
      </c>
      <c r="C448" s="13">
        <f>(C223-$C$228)/($C$227-$C$228)</f>
        <v/>
      </c>
      <c r="D448" s="13">
        <f>(D223-$D$228)/($D$227-$D$228)</f>
        <v/>
      </c>
      <c r="E448" s="13">
        <f>(E223-$E$228)/($E$227-$E$228)</f>
        <v/>
      </c>
      <c r="F448" s="13">
        <f>(F223-$F$228)/($F$227-$F$228)</f>
        <v/>
      </c>
      <c r="G448" s="13">
        <f>(B448*$B$5)+(C448*$C$5)+(D448*$D$5)+(E448*$E$5)+(F448*$F$5)</f>
        <v/>
      </c>
      <c r="H448" s="8">
        <f>RANK(G448,$G$231:$G$451)</f>
        <v/>
      </c>
    </row>
    <row r="449">
      <c r="A449" s="9">
        <f>A224</f>
        <v/>
      </c>
      <c r="B449" s="13">
        <f>(B224-$B$228)/($B$227-$B$228)</f>
        <v/>
      </c>
      <c r="C449" s="13">
        <f>(C224-$C$228)/($C$227-$C$228)</f>
        <v/>
      </c>
      <c r="D449" s="13">
        <f>(D224-$D$228)/($D$227-$D$228)</f>
        <v/>
      </c>
      <c r="E449" s="13">
        <f>(E224-$E$228)/($E$227-$E$228)</f>
        <v/>
      </c>
      <c r="F449" s="13">
        <f>(F224-$F$228)/($F$227-$F$228)</f>
        <v/>
      </c>
      <c r="G449" s="13">
        <f>(B449*$B$5)+(C449*$C$5)+(D449*$D$5)+(E449*$E$5)+(F449*$F$5)</f>
        <v/>
      </c>
      <c r="H449" s="8">
        <f>RANK(G449,$G$231:$G$451)</f>
        <v/>
      </c>
    </row>
    <row r="450">
      <c r="A450" s="9">
        <f>A225</f>
        <v/>
      </c>
      <c r="B450" s="13">
        <f>(B225-$B$228)/($B$227-$B$228)</f>
        <v/>
      </c>
      <c r="C450" s="13">
        <f>(C225-$C$228)/($C$227-$C$228)</f>
        <v/>
      </c>
      <c r="D450" s="13">
        <f>(D225-$D$228)/($D$227-$D$228)</f>
        <v/>
      </c>
      <c r="E450" s="13">
        <f>(E225-$E$228)/($E$227-$E$228)</f>
        <v/>
      </c>
      <c r="F450" s="13">
        <f>(F225-$F$228)/($F$227-$F$228)</f>
        <v/>
      </c>
      <c r="G450" s="13">
        <f>(B450*$B$5)+(C450*$C$5)+(D450*$D$5)+(E450*$E$5)+(F450*$F$5)</f>
        <v/>
      </c>
      <c r="H450" s="8">
        <f>RANK(G450,$G$231:$G$451)</f>
        <v/>
      </c>
    </row>
    <row r="451">
      <c r="A451" s="9">
        <f>A226</f>
        <v/>
      </c>
      <c r="B451" s="13">
        <f>(B226-$B$228)/($B$227-$B$228)</f>
        <v/>
      </c>
      <c r="C451" s="13">
        <f>(C226-$C$228)/($C$227-$C$228)</f>
        <v/>
      </c>
      <c r="D451" s="13">
        <f>(D226-$D$228)/($D$227-$D$228)</f>
        <v/>
      </c>
      <c r="E451" s="13">
        <f>(E226-$E$228)/($E$227-$E$228)</f>
        <v/>
      </c>
      <c r="F451" s="13">
        <f>(F226-$F$228)/($F$227-$F$228)</f>
        <v/>
      </c>
      <c r="G451" s="13">
        <f>(B451*$B$5)+(C451*$C$5)+(D451*$D$5)+(E451*$E$5)+(F451*$F$5)</f>
        <v/>
      </c>
      <c r="H451" s="8">
        <f>RANK(G451,$G$231:$G$451)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2026-09-30T14:54:50Z</dcterms:created>
  <dcterms:modified xsi:type="dcterms:W3CDTF">2026-09-30T14:54:50Z</dcterms:modified>
</cp:coreProperties>
</file>